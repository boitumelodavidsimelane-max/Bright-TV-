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biovacza-my.sharepoint.com/personal/boitumelos_biovac_co_za/Documents/"/>
    </mc:Choice>
  </mc:AlternateContent>
  <xr:revisionPtr revIDLastSave="0" documentId="8_{1801FC48-0F40-4743-85B8-4C821BE73136}" xr6:coauthVersionLast="47" xr6:coauthVersionMax="47" xr10:uidLastSave="{00000000-0000-0000-0000-000000000000}"/>
  <bookViews>
    <workbookView xWindow="-108" yWindow="-108" windowWidth="23256" windowHeight="12456" xr2:uid="{687B7E55-5A6F-4C65-8707-A76E1130197C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chart.v5.0" hidden="1">'[4]User_Profile (1)'!$A$1</definedName>
    <definedName name="_xlchart.v5.1" hidden="1">'[4]User_Profile (1)'!$A$2:$A$4</definedName>
    <definedName name="_xlchart.v5.10" hidden="1">'[4]User_Profile (1)'!$B$1</definedName>
    <definedName name="_xlchart.v5.11" hidden="1">'[4]User_Profile (1)'!$B$2:$B$4</definedName>
    <definedName name="_xlchart.v5.2" hidden="1">'[4]User_Profile (1)'!$B$1</definedName>
    <definedName name="_xlchart.v5.3" hidden="1">'[4]User_Profile (1)'!$B$2:$B$4</definedName>
    <definedName name="_xlchart.v5.4" hidden="1">'[4]User_Profile (1)'!$A$1</definedName>
    <definedName name="_xlchart.v5.5" hidden="1">'[4]User_Profile (1)'!$A$2:$A$4</definedName>
    <definedName name="_xlchart.v5.6" hidden="1">'[4]User_Profile (1)'!$B$1</definedName>
    <definedName name="_xlchart.v5.7" hidden="1">'[4]User_Profile (1)'!$B$2:$B$4</definedName>
    <definedName name="_xlchart.v5.8" hidden="1">'[4]User_Profile (1)'!$A$1</definedName>
    <definedName name="_xlchart.v5.9" hidden="1">'[4]User_Profile (1)'!$A$2:$A$4</definedName>
  </definedNames>
  <calcPr calcId="191029"/>
  <pivotCaches>
    <pivotCache cacheId="12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" i="1" l="1"/>
  <c r="X19" i="1"/>
  <c r="W19" i="1"/>
  <c r="V19" i="1"/>
</calcChain>
</file>

<file path=xl/sharedStrings.xml><?xml version="1.0" encoding="utf-8"?>
<sst xmlns="http://schemas.openxmlformats.org/spreadsheetml/2006/main" count="20" uniqueCount="20">
  <si>
    <t>Sum of Subscriber_Count</t>
  </si>
  <si>
    <t>Age_Groups</t>
  </si>
  <si>
    <t>Province</t>
  </si>
  <si>
    <t>Boomers (56+)</t>
  </si>
  <si>
    <t>Gen X (41-55)</t>
  </si>
  <si>
    <t>Gen Z (under 25)</t>
  </si>
  <si>
    <t>Millennials (25-40)</t>
  </si>
  <si>
    <t>Eastern Cape</t>
  </si>
  <si>
    <t>Free State</t>
  </si>
  <si>
    <t>Gauteng</t>
  </si>
  <si>
    <t>Kwazulu Natal</t>
  </si>
  <si>
    <t>Limpopo</t>
  </si>
  <si>
    <t>Mpumalanga</t>
  </si>
  <si>
    <t>None</t>
  </si>
  <si>
    <t>North West</t>
  </si>
  <si>
    <t>Northern Cape</t>
  </si>
  <si>
    <t>Western Cape</t>
  </si>
  <si>
    <t>Total</t>
  </si>
  <si>
    <t>Aufience Persona 2</t>
  </si>
  <si>
    <t>Audience Persona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</si>
</sst>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&quot;\ #,##0;[Red]&quot;R&quot;\ \-#,##0"/>
    <numFmt numFmtId="8" formatCode="&quot;R&quot;\ #,##0.00;[Red]&quot;R&quot;\ \-#,##0.00"/>
    <numFmt numFmtId="44" formatCode="_ &quot;R&quot;\ * #,##0.00_ ;_ &quot;R&quot;\ * \-#,##0.00_ ;_ &quot;R&quot;\ * &quot;-&quot;??_ ;_ @_ "/>
    <numFmt numFmtId="164" formatCode="&quot;R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0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1" applyNumberFormat="1" applyFont="1" applyFill="1" applyAlignment="1">
      <alignment horizontal="left"/>
    </xf>
    <xf numFmtId="0" fontId="0" fillId="2" borderId="0" xfId="0" applyFill="1" applyAlignment="1">
      <alignment horizontal="center"/>
    </xf>
    <xf numFmtId="8" fontId="4" fillId="2" borderId="0" xfId="0" applyNumberFormat="1" applyFont="1" applyFill="1" applyAlignment="1">
      <alignment horizontal="left"/>
    </xf>
    <xf numFmtId="6" fontId="4" fillId="2" borderId="0" xfId="0" applyNumberFormat="1" applyFont="1" applyFill="1" applyAlignment="1">
      <alignment horizontal="left"/>
    </xf>
    <xf numFmtId="0" fontId="4" fillId="2" borderId="0" xfId="0" applyFont="1" applyFill="1"/>
    <xf numFmtId="8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8" fontId="6" fillId="2" borderId="0" xfId="0" applyNumberFormat="1" applyFont="1" applyFill="1" applyAlignment="1">
      <alignment horizontal="left"/>
    </xf>
    <xf numFmtId="0" fontId="2" fillId="2" borderId="0" xfId="0" applyFont="1" applyFill="1"/>
    <xf numFmtId="0" fontId="7" fillId="0" borderId="0" xfId="0" pivotButton="1" applyFont="1"/>
    <xf numFmtId="0" fontId="7" fillId="0" borderId="0" xfId="0" applyFont="1"/>
    <xf numFmtId="0" fontId="3" fillId="0" borderId="0" xfId="0" applyFont="1"/>
  </cellXfs>
  <cellStyles count="2">
    <cellStyle name="Currency" xfId="1" builtinId="4"/>
    <cellStyle name="Normal" xfId="0" builtinId="0"/>
  </cellStyles>
  <dxfs count="1"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7"/>
        <c:overlap val="-40"/>
        <c:axId val="340355535"/>
        <c:axId val="340354095"/>
      </c:barChart>
      <c:catAx>
        <c:axId val="34035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54095"/>
        <c:crosses val="autoZero"/>
        <c:auto val="1"/>
        <c:lblAlgn val="ctr"/>
        <c:lblOffset val="100"/>
        <c:noMultiLvlLbl val="0"/>
      </c:catAx>
      <c:valAx>
        <c:axId val="34035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5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48-4E18-A5CD-972C44F8DC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8-4E18-A5CD-972C44F8DC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[2]Sheet2!$A$6:$A$9</c:f>
              <c:strCache>
                <c:ptCount val="4"/>
                <c:pt idx="0">
                  <c:v>Indian/Asian</c:v>
                </c:pt>
                <c:pt idx="1">
                  <c:v>White</c:v>
                </c:pt>
                <c:pt idx="2">
                  <c:v>Coloured</c:v>
                </c:pt>
                <c:pt idx="3">
                  <c:v>Black</c:v>
                </c:pt>
              </c:strCache>
            </c:strRef>
          </c:cat>
          <c:val>
            <c:numRef>
              <c:f>[2]Sheet2!$B$6:$B$9</c:f>
              <c:numCache>
                <c:formatCode>0%</c:formatCode>
                <c:ptCount val="4"/>
                <c:pt idx="0">
                  <c:v>0.08</c:v>
                </c:pt>
                <c:pt idx="1">
                  <c:v>0.12</c:v>
                </c:pt>
                <c:pt idx="2">
                  <c:v>0.25</c:v>
                </c:pt>
                <c:pt idx="3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48-4E18-A5CD-972C44F8DC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12166192"/>
        <c:axId val="1657070800"/>
      </c:barChart>
      <c:catAx>
        <c:axId val="1712166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70800"/>
        <c:crosses val="autoZero"/>
        <c:auto val="1"/>
        <c:lblAlgn val="ctr"/>
        <c:lblOffset val="100"/>
        <c:noMultiLvlLbl val="0"/>
      </c:catAx>
      <c:valAx>
        <c:axId val="1657070800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71216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[2]Sheet2!$B$1</c:f>
              <c:strCache>
                <c:ptCount val="1"/>
                <c:pt idx="0">
                  <c:v>% of Viewship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5A1-4E18-976A-BF30AD113E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5A1-4E18-976A-BF30AD113E0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[2]Sheet2!$A$2:$A$3</c:f>
              <c:strCache>
                <c:ptCount val="2"/>
                <c:pt idx="0">
                  <c:v>Female </c:v>
                </c:pt>
                <c:pt idx="1">
                  <c:v>Male</c:v>
                </c:pt>
              </c:strCache>
            </c:strRef>
          </c:cat>
          <c:val>
            <c:numRef>
              <c:f>[2]Sheet2!$B$2:$B$3</c:f>
              <c:numCache>
                <c:formatCode>0%</c:formatCode>
                <c:ptCount val="2"/>
                <c:pt idx="0">
                  <c:v>0.35</c:v>
                </c:pt>
                <c:pt idx="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A1-4E18-976A-BF30AD113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'[3]User_Profile (2)'!$B$1</c:f>
              <c:strCache>
                <c:ptCount val="1"/>
                <c:pt idx="0">
                  <c:v>Subscriber_Count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27-49A6-8020-76DEB673116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27-49A6-8020-76DEB6731167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27-49A6-8020-76DEB67311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27-49A6-8020-76DEB6731167}"/>
              </c:ext>
            </c:extLst>
          </c:dPt>
          <c:cat>
            <c:strRef>
              <c:f>'[3]User_Profile (2)'!$A$2:$A$5</c:f>
              <c:strCache>
                <c:ptCount val="4"/>
                <c:pt idx="0">
                  <c:v>Boomers (56+)</c:v>
                </c:pt>
                <c:pt idx="1">
                  <c:v>Gen X (41-55)</c:v>
                </c:pt>
                <c:pt idx="2">
                  <c:v>Gen Z (under 25)</c:v>
                </c:pt>
                <c:pt idx="3">
                  <c:v>Millennials (25-40)</c:v>
                </c:pt>
              </c:strCache>
            </c:strRef>
          </c:cat>
          <c:val>
            <c:numRef>
              <c:f>'[3]User_Profile (2)'!$B$2:$B$5</c:f>
              <c:numCache>
                <c:formatCode>General</c:formatCode>
                <c:ptCount val="4"/>
                <c:pt idx="0">
                  <c:v>113</c:v>
                </c:pt>
                <c:pt idx="1">
                  <c:v>858</c:v>
                </c:pt>
                <c:pt idx="2">
                  <c:v>762</c:v>
                </c:pt>
                <c:pt idx="3">
                  <c:v>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27-49A6-8020-76DEB6731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6486064"/>
        <c:axId val="1786488464"/>
      </c:barChart>
      <c:catAx>
        <c:axId val="178648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488464"/>
        <c:crosses val="autoZero"/>
        <c:auto val="1"/>
        <c:lblAlgn val="ctr"/>
        <c:lblOffset val="100"/>
        <c:noMultiLvlLbl val="0"/>
      </c:catAx>
      <c:valAx>
        <c:axId val="1786488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648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 sz="1200">
                <a:solidFill>
                  <a:schemeClr val="tx1"/>
                </a:solidFill>
              </a:rPr>
              <a:t>Cross-Sectional Analysis: Age vs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580927384076988E-2"/>
          <c:y val="0.26352885801230358"/>
          <c:w val="0.62627493438320214"/>
          <c:h val="0.37952099129406786"/>
        </c:manualLayout>
      </c:layout>
      <c:barChart>
        <c:barDir val="col"/>
        <c:grouping val="clustered"/>
        <c:varyColors val="0"/>
        <c:ser>
          <c:idx val="0"/>
          <c:order val="0"/>
          <c:tx>
            <c:v>Boomers (56+)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None</c:v>
              </c:pt>
              <c:pt idx="7">
                <c:v>North West</c:v>
              </c:pt>
              <c:pt idx="8">
                <c:v>Northern Cape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10</c:v>
              </c:pt>
              <c:pt idx="1">
                <c:v>1</c:v>
              </c:pt>
              <c:pt idx="2">
                <c:v>51</c:v>
              </c:pt>
              <c:pt idx="3">
                <c:v>11</c:v>
              </c:pt>
              <c:pt idx="4">
                <c:v>5</c:v>
              </c:pt>
              <c:pt idx="5">
                <c:v>4</c:v>
              </c:pt>
              <c:pt idx="6">
                <c:v>0</c:v>
              </c:pt>
              <c:pt idx="7">
                <c:v>6</c:v>
              </c:pt>
              <c:pt idx="8">
                <c:v>6</c:v>
              </c:pt>
              <c:pt idx="9">
                <c:v>19</c:v>
              </c:pt>
            </c:numLit>
          </c:val>
          <c:extLst>
            <c:ext xmlns:c16="http://schemas.microsoft.com/office/drawing/2014/chart" uri="{C3380CC4-5D6E-409C-BE32-E72D297353CC}">
              <c16:uniqueId val="{00000000-9B2C-4525-913B-3287F5924F46}"/>
            </c:ext>
          </c:extLst>
        </c:ser>
        <c:ser>
          <c:idx val="1"/>
          <c:order val="1"/>
          <c:tx>
            <c:v>Gen X (41-55)</c:v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None</c:v>
              </c:pt>
              <c:pt idx="7">
                <c:v>North West</c:v>
              </c:pt>
              <c:pt idx="8">
                <c:v>Northern Cape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67</c:v>
              </c:pt>
              <c:pt idx="1">
                <c:v>34</c:v>
              </c:pt>
              <c:pt idx="2">
                <c:v>336</c:v>
              </c:pt>
              <c:pt idx="3">
                <c:v>87</c:v>
              </c:pt>
              <c:pt idx="4">
                <c:v>37</c:v>
              </c:pt>
              <c:pt idx="5">
                <c:v>68</c:v>
              </c:pt>
              <c:pt idx="6">
                <c:v>0</c:v>
              </c:pt>
              <c:pt idx="7">
                <c:v>32</c:v>
              </c:pt>
              <c:pt idx="8">
                <c:v>5</c:v>
              </c:pt>
              <c:pt idx="9">
                <c:v>192</c:v>
              </c:pt>
            </c:numLit>
          </c:val>
          <c:extLst>
            <c:ext xmlns:c16="http://schemas.microsoft.com/office/drawing/2014/chart" uri="{C3380CC4-5D6E-409C-BE32-E72D297353CC}">
              <c16:uniqueId val="{00000001-9B2C-4525-913B-3287F5924F46}"/>
            </c:ext>
          </c:extLst>
        </c:ser>
        <c:ser>
          <c:idx val="2"/>
          <c:order val="2"/>
          <c:tx>
            <c:v>Gen Z (under 25)</c:v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None</c:v>
              </c:pt>
              <c:pt idx="7">
                <c:v>North West</c:v>
              </c:pt>
              <c:pt idx="8">
                <c:v>Northern Cape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53</c:v>
              </c:pt>
              <c:pt idx="1">
                <c:v>35</c:v>
              </c:pt>
              <c:pt idx="2">
                <c:v>278</c:v>
              </c:pt>
              <c:pt idx="3">
                <c:v>77</c:v>
              </c:pt>
              <c:pt idx="4">
                <c:v>82</c:v>
              </c:pt>
              <c:pt idx="5">
                <c:v>100</c:v>
              </c:pt>
              <c:pt idx="6">
                <c:v>0</c:v>
              </c:pt>
              <c:pt idx="7">
                <c:v>27</c:v>
              </c:pt>
              <c:pt idx="8">
                <c:v>17</c:v>
              </c:pt>
              <c:pt idx="9">
                <c:v>92</c:v>
              </c:pt>
            </c:numLit>
          </c:val>
          <c:extLst>
            <c:ext xmlns:c16="http://schemas.microsoft.com/office/drawing/2014/chart" uri="{C3380CC4-5D6E-409C-BE32-E72D297353CC}">
              <c16:uniqueId val="{00000002-9B2C-4525-913B-3287F5924F46}"/>
            </c:ext>
          </c:extLst>
        </c:ser>
        <c:ser>
          <c:idx val="3"/>
          <c:order val="3"/>
          <c:tx>
            <c:v>Millennials (25-40)</c:v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None</c:v>
              </c:pt>
              <c:pt idx="7">
                <c:v>North West</c:v>
              </c:pt>
              <c:pt idx="8">
                <c:v>Northern Cape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157</c:v>
              </c:pt>
              <c:pt idx="1">
                <c:v>86</c:v>
              </c:pt>
              <c:pt idx="2">
                <c:v>1039</c:v>
              </c:pt>
              <c:pt idx="3">
                <c:v>305</c:v>
              </c:pt>
              <c:pt idx="4">
                <c:v>244</c:v>
              </c:pt>
              <c:pt idx="5">
                <c:v>248</c:v>
              </c:pt>
              <c:pt idx="6">
                <c:v>1</c:v>
              </c:pt>
              <c:pt idx="7">
                <c:v>96</c:v>
              </c:pt>
              <c:pt idx="8">
                <c:v>58</c:v>
              </c:pt>
              <c:pt idx="9">
                <c:v>488</c:v>
              </c:pt>
            </c:numLit>
          </c:val>
          <c:extLst>
            <c:ext xmlns:c16="http://schemas.microsoft.com/office/drawing/2014/chart" uri="{C3380CC4-5D6E-409C-BE32-E72D297353CC}">
              <c16:uniqueId val="{00000003-9B2C-4525-913B-3287F5924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0774992"/>
        <c:axId val="1649025744"/>
      </c:barChart>
      <c:catAx>
        <c:axId val="17107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025744"/>
        <c:crosses val="autoZero"/>
        <c:auto val="1"/>
        <c:lblAlgn val="ctr"/>
        <c:lblOffset val="100"/>
        <c:noMultiLvlLbl val="0"/>
      </c:catAx>
      <c:valAx>
        <c:axId val="1649025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1077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14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regionMap" uniqueId="{934F9710-23CD-4720-A2B7-506C569DC9CB}">
          <cx:dataPt idx="0">
            <cx:spPr>
              <a:solidFill>
                <a:srgbClr val="E97132">
                  <a:lumMod val="75000"/>
                </a:srgbClr>
              </a:solidFill>
            </cx:spPr>
          </cx:dataPt>
          <cx:dataPt idx="1">
            <cx:spPr>
              <a:solidFill>
                <a:srgbClr val="E97132"/>
              </a:solidFill>
            </cx:spPr>
          </cx:dataPt>
          <cx:dataPt idx="2">
            <cx:spPr>
              <a:solidFill>
                <a:srgbClr val="E97132">
                  <a:lumMod val="60000"/>
                  <a:lumOff val="40000"/>
                </a:srgbClr>
              </a:solidFill>
            </cx:spPr>
          </cx:dataPt>
          <cx:dataId val="0"/>
          <cx:layoutPr>
            <cx:geography cultureLanguage="en-GB" cultureRegion="ZA" attribution="Powered by Bing">
              <cx:geoCache provider="{E9337A44-BEBE-4D9F-B70C-5C5E7DAFC167}">
                <cx:binary>1HrZct04lu2vOPzcdAIgCIAVlRXRIM+kWbJsS35ByLJMgiAIkgDB4et7K6dKZ2XljYp+uNFHD4pz
OGDaw1pr778/L397bl+exjeLbTv/t+flx7d1CP3ffvjBP9cv9sm/s/p5dN59C++enf3Bffumn19+
+Do+zbqrfiAI0x+e66cxvCxv//F3eFv14i7c81PQrrudXsb17sVPbfB/ce1PL715+mp1V2ofRv0c
8I9vP7348DJ2b4qn/uXtm5cu6LDer/3Lj2+/u/Ptmx/++L5/GftNC9ML01d4NknTd7CEDHEi8p8+
/O2b1nXVL9cJesdwRhBn8PvPg149WXjw99P5rzfv3RTqN//9Deb69Ot9fza5n6b29PXr+OI9rPCn
/3/9ru8WB7cWb988u6kLrxtbwR7/+Pb7sbV3xc/XC/e6wM///dOO/PD9yfzj73/4AfboD7/87vD+
uKH/r0v/cnaHpym8dNVf7cx/eGyEvcOIEUYIRj998PfHJt5hknGOsj8c2y8z+d+e2L95zR8O63D/
f+Gw/tKcfu9n3934n/oZEe/ynKXgSeT7k8reIcExJTn91Tx+drDvzfrfz+PPXer7p7+b+f8Jjzmf
n7apnd5cPYWn9teN+bOI8p/6jXjHCReCpPmf+U2KXi8TCiHv10F/Pg2Yz2eYT/LTfP633vOXL/uD
D11d/H/xoX8fDH/LJiUcze6nNPS7ePjXV38NpH949Lts9p2t/noIp68/viUo/53Tvb7iu4T0vcX/
7C+/Pfby5MOPb1PxDqE0TblgCCNOCRzyDGn1x7eYvaMMM5bnBAuevX3TuTHUkB4JgUDKCaT5LBVI
ZK9e6l+THVyj7F0ueJ5xsCSektfX/brAG9eulet+241fvr/pJnvjdBc8DJkhGL7/+cbXiWaM5kII
jATJUE5S9Lre/vnpDnDG6/3/RbXPRBYJkZphS8oKzYPMSOt5LykP0yNZKFtlTDrPL+oUbWYo0mHh
tVRV5vurFG+MXjA7DbYc+3FxRUrpmjRF2tbbFaXNJG7nIc2rXGZbqNSdoXSMF12D2mGXoj4fj5tl
zcFktKrOyNzj0ErcTXVeakbn+J5tiCgr165LfcETsk1lFYbVP7UY85nI1pIKi3JRSXXbTX5byiwf
V/YZeRP6vMhh1dXBNIvIMrkNal2u0zxdeie3jqq4m0drwoeZ94wXA6H5Uixi3dpr62w7Hkw3iOY9
Iklm7ojeevvFJ57fZlXH0G02MSrOmBv8UqaL411J8GLj3sZ+cMc2jlHcTyt3mS91FM6UeZy79out
Qt8cg8jnjZYkKGdPDdMxv4wujKRM48b5epmCxTRbGSxPUSaXdpurKyyGSegClufWxyzkyXY2L0Po
X1JR50MrQ3ReP7W1M0OZb3YenKQbzlUvs7Xz5GjqAZvbHtfN+LnOuPZXmiUikSnr5+Rk+7QR38Tk
w3TEk9v8y2o4dpVcUqMpkj7OaULKFgncVmXLQpcORT0uul7KwDa3HZsKjuTbglqWlbrbcLJXDjs4
tsFSmi4y4D6vrruZpoIVa9owBguMKllqKWCyGjZCt2p6vX9s/XU7RZdexbzLt4dkyoNOi2XR06JO
sWXYf6YL9uphI/UyfBzC7NwNH7rd3ObDYfP6Ps0zem7m1HysehNO1ZzPMhj+QFfWf8XOqKVIYnxA
oupLVdH6J8O9rY1xBWVLVdZunjdphyoZpa2qBTZiWdqbpnI8/ZRWVE2PAzHtfJ6RMcgMpXpGpdco
aaSYejqJkk+xy5bCt7m9bxfXNbKhjds3cdtuVRL6PRxqEmVSowVJnmRgxmlet9JnBqazYG2qItcN
exxUiptTnukx7wqbzxpdmcWM6GZOclWpohIsGUvEtGZG4p6u04VetUYHnZBl+8IoVkHtssVk5Mo0
uduuW9Ib8okrMT2adiW7gSZ6KlxYbXpweRv34GHqEW4lh6af0l4GSgZTDBX8XeZtPbIzhLXLC4TG
GO6SfjOslnWoSdtI5Aw4bjCOJg86rj5+WW2ez18F9bk4IWaT7Jj07awvh7V35NuIkHF7nExanbF5
aJpdjdZpktuSAsu5Hn3vwnFLvL2jKW1MEdZBYTC9waTFtvqmoJMf0Q5FTpeC8mhNMa2Je0xiPdRl
Y9K+kfUEoeOqV+AzmDNN5ZbDpspZJGIpc2PEkXdbxvc55cmOOjuwIufB5btKuKwg+dQOxTglzYVZ
UeMkNt6k52oLdjsG7GgtK+W6WqK+EmRHZmcfop1mL9cxN+dJOsYbt9qkLdOmYZPMetp62aZZ9zAR
u70oR9k5Znor4qTnr46IuKvczO5sLR42la13ymc0PWlYNJamVsl+Jt4crEnYTqEtkmIZIH7CRBIh
N47ciQ8aHzYX551mGmZmE+8fl3xhmdQ20c+VmpNPHY3VdYB3loZ5vWvXdL3LOtEeesTSw6Cm9aIj
rb2vGjvf+s6k5Exx/40hFkapdEf3Q7L1j/2Wuw8Nn8VaoIDJt0hw28sxY6lMVsHluGk+76wI+L5K
t03IrIvVNxRS/sBbwtpimWgo9Lqw3Rhs055NbOSF0iL7SNm8bIdN4UHWtl0aSRwxFyFaXpeRqOG6
zhO+Y7MSZofRqFrZ+XR5mcb4IYws1pLPsXugHRruIQKQUWKaqHFnbWJOkxD0q2hjfqU9rUqRdVWZ
dmS9bEevPs91veGL1oV5F6d2jFKQubnmQ8NvYZuXE7O5+ez7CdcSOzHto4BFya5CdCyrroq6WFBK
im7AuD/2hI2fZkj2VdkvhA0HHim9axPBICry+qFDPF5WUSQHpDC9Z7UfH0c0T3ssGNvPC9d3PU39
bmgXdIw8OVtFrWWd9vfILMPVTPNZXa8+McexWXGR9naOxTxm63lgEGzTPhw1CWSWSI3DcVo7dJbO
KPswYv2FDn13hpfqwtR5hmU7Z+Ej7nsKVo/oJafTtVlFe99v21auOI7FNG51uTgXiqjVRXCEFdkU
xlvAsu48316hQNoT+6iV52eEsORu9qspQ+fcNVKmLolJqsdcx/EwWB53A8qSb+1G0FLkQzO1sk8c
vV2QG8ypX90iVwq7UPglVvsENfqi3aZvlW6uc65P3TCoR4XJDZ+Nf0+HIdk1eqSfhkR3Rar7K96G
yxEP06mpe53IxFn0TZlo5TjW53T0qMADrT8mCSIyVL5cOktPeRUBLnh/NuQJkhZFCCwpRa4YlpHU
Mt9mdb/kLttD5vtKUqVjwbhbZW+nQ24ad97P3b7rxmYoo2+z/tST0bRy6FGUkw7XnafLOYAccYSA
ml/YrUkO1lbZR4BBCfs8uDFWXxe24lyithvuTIvSWvbtsJW5TrpOqkaFT412aXo2BrfcZ8J5W8ZE
TX1f8mrMgxQZgLWjrQCU3OENzfyxzXH8UgvL+tKv9XrUzdSVc2CoTHr8ra8mve4hyNkXAyn/Skzs
U+uS5tGONYRnN2yF5sgWk/LVcJ72UR9VyHEZkd6MXLIa4svUENlxNFy2S2KKjOl+z/MQ5LIu5sL2
q3gAz0jWXZOk2QEmPxHp6rbaO4CaH5c26uTU9q9Re8IVZ8WE9RT2fFzX56VOJivzqF24plQNh2rs
h+ds6cjO6XEtNjy3n6NqbFsExGKpWMzhjBOS7xvP/a5Zab9TfX9NmkZUOyq4KmjtqjIZ2nWVI6b2
QgUN86maULh5u8jUPFR723fdxaqyRebd2h0cia4vWMLxPsFz3CmTJEQCcm4HST3EU8nmat4vG5l2
PqbzRarEWPR66akcKzN/zRvTve+M7h6FyczDmkT6sKg63C155rCs+DbsI1rFJzH6cIzRdPtlcl83
y9FxaMa2rBokLnvc2UvHZr/nYmu/2pmkh8lQdKzNzOSQTyMEytRejxHVZcaaqfSV13dxpl3h6wTv
1WztB5KJ7SwjGf5U8/5Dq1ELEFmgg2u2+EKyoS+Wlr84sIZDzFtf5FmeyL7mlYwm3gFM8JBMNbXF
MORZwfwgbkin6lOz8epyzDmYrFgqyLVIXRrnX3SbNUkB9p+XGaXD3QinmZ55z2zpp8l+oqlNSteh
9hBdW3+ZAUke61WAw3mCzQefde2BettduXmin2fXtfe+sXSRwESWViZLwg9h6QGe8m6tr+k8TrLF
jXFS8ZCZogsmKwxwvg6w2RLnImvIt05n06ndAF9IvyC+m7klY2E0x5XMTIDkb+Z22pF+ZqfebAAa
urEDzJAQehpTOza7zgrs5VCNKjkTYmv6Qi1iOvigyAfb1CYH4+xD6UQ1KbkoQh8SMmbfMra2X8gw
zZc6D4AWNzp+XklHys165YqxQayRwXf9U0qEPcOd15JtalqKdaNoV6WqL4dkHOKtbXldlzPbKoB0
/qYlM72KdhkPGJl8Z1sb7jhId1cBYbBt362ZrFoXO0mVnuVEpmGT7dTpM0Y2NMoWjWCJ6cg7Xi6h
mczl0JCpmHrrC7zM3BRjEhMpamuykpK2LRWvtwv6qg1eOrDttuxWMsKSVkxSiYYUmCBY7HyVT9zc
L9uMVJmsterPl6zhx3oQ6d2QoPU4OEObszhqrsqQUf9h7hFQj7lZcLF6umbFxHFNpK8NXj5Nfr0c
SeeUxIlpawDaqD6udZfuAMJkN6mKyWGoKHvOyIxS2Ro33QgIwye6muZisVv1hXsr/KlCFeE749y4
m2m21tKsDIKW0Y4UOm8WI13Tjtt55jI9yNTruM/5ZB6TRgAIbNl4Xy0eXNEBbpQ1z9A3KoLdMaWa
UwJR7lM1ZfpLbLDeudDEB5D+u+uJQnzCbBwkSZmFUBXq5Hrapup6DhGpoieu/ajSZpQREsxajMNa
X1GTT7u64dmuyWonADyk6Eqnhl/ljs5PGCDlbh0YfY7OaVd0TYaUbBs1XrcQFE+jGuiFoKy770Te
PXJRAZzuabBOLn3o7/o+R/uha9vzFQX0mZnK77pGsRMKY9JLSD/qK+3DUGKr5vciHefbrZtyLdfV
z8PB1Y0oURbwwTD9nKOl+miia4o1SevLAEqEk6NVTbkOqb/DtNuOUY9TA+SeNxeDFuIseDcf+mSl
ckZddjYwsa1lhuinGmN1GkNc368qaV5YaNpizdPpfHBgihMK6jmrmJch8/UVs4u5wxAUIfHoaZY5
sKXbmuQtGNjin1ze57daIbUnS+53DItTxtB00TJbnXV5ZrAUsPyi69rhvaBWfQ5hsJekH4Fwz5O+
qK2GPJ7UZr3KwIoTkh1b1SkIIDptlkLbLP2cKWXPWeL7iyat8G5I3Xu/AWiRC8Zun6eNZnuI36uQ
Q7Pqw9wqfYarqS3wpLMREO3YfqSbn9Oi2iBB8651JbfACSF+W3ybV8R/6gbuWcHcOgOAnypDC6yq
DZ6YWX5bVcz1kGj7jcu0q4Fcg3oCoBoKHHIRiB0DoKZOBpLRvOTjEp+G0dGHafHzhx5vNivokmVk
Vw1YfMTdRiOY05KfwpT1+fm6Dbr5sjme58dmAIw/59akJ0rNsOwRcDx/AKj8tfWRlwr5+SZ2NJtl
HMQ3JJr46HWL/Pmyiam5djgDPUkA0EcytGsrm9F88dm4LPdNNOC4C9GdNMNcfcrVyo5+of49CB/q
MOiFJcVMKpSd0mwwvEBjtR7nZcyoRDbTSWFRmtuSVCvbiWYdu7Mko66T85DPF93UoWa3gQJnDuOW
pvtceVFqN2RfWYWGgzKumXdtDWi84ICmipmrpDRJi17YtoII4hDZLTm3c+FxNGYP9HSbd2DjmJ56
NsdQLoKsFyDshF4m1WDvHaTLtuiymFRyhSKZjKgfPiwj1UJ2oQPVK6+c5Fbb5yng7MzXMciJs/da
TbEcpzl5Rt7WwHtTkAK2dHlfN5peAEBNS9CneLFYgq6SRje3uN26A5nTVIqx45dTQpf3PHTmClYK
RCyx5pFBqPdlX61jMXprjaQ4NVerSOqdHbd+B3m1qaQQebXbsnW9HMLguMxBZlSFa7TeZ25s7phT
daF91+a7eqUEFUC52huWaOOLRbkMXWKuQBk02K4pgIEl5WfTVm/obmzzCLrbENb2HNSOSpRGk7op
9DJlkwQAkaTvx9676iZR/QS8DSxrtloSU1P2Qu02dV+myjbZ3mTjENoyiLHXcmTD5j5qAeHjOBlT
N5MUyizqIWSTGBFYIVPJgdhYT3nZA2+vDm3DTXbjgYzTk+KNCUUTZyAyIZ9zdV6TuG47gTSMWoeM
X2RLL77NTWjyz4vwKmslChCcds6nbLyIyvIbYA60+WDymQVJ10b7E3WiEft6ckpcKuC16jZTqXL7
FljDfNpmCJX7LRgYVVc2+9oBVx7KTTSNdBgys9RpZ5tYYA7MdpF9Q6u8XDOi8E5xDtdjCirUbW2b
vj02OCbTDsYOe8a3HO+qKYZzOtdB72cLaeZumHnc9toQqw4IvCm7jF6E7Xw0ZqXHzKi0PoI+ZPl5
6yieDumygSIpt2nD6i4RGQzuE5SIUsBCqwMohWs8Vbm34WZNgl1lKky9HhrBUbI3NersMXiSJDeN
7nN72AC/pJKtnrhjThemLlq0dACSgUahD6ClMwi7XTOlALcaOksDdcfkJt8WGHcLGwi1/+X5Kga0
cCWhbL1eJPPWATqmT3mN+zOPVL4Va51XWymUdxccq2UrbB1XsWcEuFWRzFDulFVm2Y1f7HyhJgYS
syKg/Q3gnsBO2uNG1YHNyQgAKbBWGr/ZQ0pzUgSTA+6wln2Bcnq1iyNSH0DGsJKgkZ8mUA9P1hB8
ztZtPKlJmVIRYPEmZsmuJuMzC0QXYpoeKpdPctRkuAT9ld9nVozXsQV4IaPicZYtULfrJXRfB7V8
WIQNMJZ4GFe7yGbLz3Tvz0gISkZmQLnPo9sB6mplrLtcDsgQuRnSFHUARatu60/jBogjNj2XzZD4
Yg7JuA90s7uhrupDvfjkyOMIVJgCBOtCLo2ZDz7lbBfEYIs+2+a9smiVOA/TDoRxfJP5QRWRVKnd
6djX6pT5OFRSE2RAVIEAvlKa70SH9ZNPa7HPFoiyxni85gWvY4out3FrjnXLz5Poq2OTOrujSb3u
B9LeeZE9adbyTloI8beVUPgQUWVObKb+VK89uQ+G9d9WweorD6RslBAI25t2E5C7hgziV++mSzxN
wyNFOBTIk/YEGB81sofhPs8UAW/KurS04FPnlR6Wb6LLnewyD47NtIkH1WP2pW7iRdyW9mMbQ/Up
9gkrgW3w51Q1/AuyGiRL2NgH7gF3RF/r9+taaYkXHK8wbtfdCCWiAvSybmfTCFJTjHkhkmrcIyfo
HvX1J+bytTkEPCAIYsMMyInk1V0ysf7omX6hpmMnPazXKQiK0kT+AXd1X2KTQKgeNAIhNEaZL+ob
jXNzwrUVX1wmmsKCOD4Q+3XtUwYaM+3Lbcs+TSxtJOYUl/UMaD0JgzqPfOxvuF2eANInRddGkDzA
8aTLTHWjxSpKhkGOLTmfbgGDfbHgtLJXOWSfpblpoXwjAaTMe7zV3cPmzNjtWorDrtf98N4EPXdS
N0t7t7n1Fk+bAtI2od2WzP3JTlVS0rZbpFMIl2urcdGl5n1T20SqIR/HUoHLHkzt+6do0N0W0rs1
rB9WY46sw1DtCO4h4aM7byw7aoyq42DArpp0fuzwsl3qaT1TS9x2LKVK0rqnB4W7cB6X0V3aTixn
OAO5ZwZcexpIArynrxeJdYYP+dZVV3oO+2oQ+GXIA8A5LsirBCxGyQY2nXg6PusRylcDiFxnfOBD
IRZ3dC3USUjI2z0aAG81ND8AbaSlN9VaRlbNBfHsAWJofJz6+Yy2UZ20GWORTg2Lu2mgHKoDjT+G
3J2tLUnKrO5bUBdt2oEIi7O5CCSm14JzQ8s6DZkFBkW7M2BuXV1i8Jf50Cqmz1Ol2FXKwGz7TS/H
PLVrucX2U48ayKmjwh9Qiy3U+lZbQnmpO+O1BZRix0wOWfdhrNhDNYJlGh2Wsk07CN8cf7JkowUc
1itjaxYvdbuCGqa90DtgsJ9wi58dq4fSWAYUjTJ7ACxgd1F32QXtpuRrrpZEYuJ00c/cFVvtPvQG
jnSZoNxVYNDx5NB6csZiI0BjGapPm2kB+y2T32ueQiXPNEOha2YfI9QPd2OyLmUVrSj6BoptQByb
7Db1fj4E/RrI06p/TQRr9RWIKGAN0mK5GIiNEAd7sGNX9WczaL9Sie5iMmr4iMceF7wC4bpRCzil
GLojx7qCHMGTZYeqjB2najoAm9FAi0OgJRQI13nXzfpismw6A3EQYng9FUvX+tu1abJzOMPuhW6N
AoGhA5KCdP2BTpO/mJvW3NcOwIZM2qWDpTUW6gsgDn9LAsBp5yf3gaxIlxM1AkQTKB2Vtq3nYkPp
BOvFyUwvxx5M9sRp9nkBDfmU5L2jBQidPuwWzhuZ190GwHAi7xkUD0uLly81SfKtnJJRNTsVZ52W
k0lQL0lHmTvMnKRnSzOGTwqU1HO3QrLUou5vobrdFSbRHCA6SGkF0nMu01onTyBgAIhOzAEoD74k
aWg/bKpZ9+nWgdEO+qtYs6oEUeoWd/ltSIyAcKQWVtDNbGUzbFWJKQIh29Bc0qYOUY6z6QCDDKRE
vXjWTUikhXKE2nnNhgrQ0mh6OdC2SQvS90GOawWCMMvqIoNKGqBaS64j1F5BAKJ+H/UEqtCSRhkc
Y1BlHvt5v24EYlDTkrjv13Xd16hFx44KqOTluH2Ztu6s4UsLyjtaz7XHyTXEa3ZYV0jNAFaTchQK
3TOaBsnXOV7+rsHgT0r20BfwXb0+I5zmKWWcUkQx5en39frBVnOSdiuThsQjMLS9WScMBd6Vy78e
CJoMfjeQwCJF0BWAMUaU5ZRw9v1Aas5mw5VtijHt6HBmmSbL+ZptGJV/PZD4fiBYBsMpxzRLMbSO
MfZ6/XcdCEqsc9PbTu9SqKbynYs8NBKqK+oxOsCOZQ6bugFMy+t7XLEsHv56ePy6Y//sgBCv45M8
T0lKeMZ4yl434nfjz4PIlWO53ukuoa1UIMNSmWloXKA1T7u9SHjeP0D/RBMv0dTiG7T1oDTQIVMl
FNST+qLKe5Rf4jD5DFoJoVfyl06XX477546NZ9evo67qX9o2f/v6j3sHtND+9Mw/f3zt+vznt8tf
20X/8q7Di3ttLPJ/vOl1Nr+9Cybzy+xeu12++/IvjTe/dp78obXm5+7Tf3Pxu76b7/qOft93Aw2G
RPzUFPNbZ+m/NN9c9pN9ap+66rfuz9eOln8++Uv/DXkH7TccQ49LDmIYcPlf+2+gO44wmkH/CwVn
zDIKbYu/teCk7wRoIDlQWQ6mKejvWnAIf0dz/lMrF1wGf0z/kxaclMMwv7O/jP0PO2e2HTeOdOsX
OqxFEAQB3pI5KlOSJXmSb7BsywY4gwMIgk9/NtPV1VVdf5/z931fepBEMUlExN7fDhYSjreMJWkk
eCJCUJV/fv5K1sRpub2/3SpGzASuN1C0bBMlV+VkX+yGhsHIwd1qMAwtLXgFogWD/jXPpbpLxlIV
50oAXtnBMI8/z5r5NYc50U4ZWBPtLyB4MP87RtrcUIkSOBtrYDV67r/0FDX/uhYJhN8G1/0WxGNM
72VbG+AIUZu8QrWHj1qP0NhPdSWKY59cBhv69mnweiCfirKs1TXqu+Tt36MOLeknmGLv0oL7q43f
xfqtRSuBxuALZzzntFq+sMLHBwciYtbwFqFI9VCubkCEZ1BsRB1kKhXNz19khLUd+qLampdfeEQ7
xKN94FBZgtNc0kXuaO1m6A1snsPD1GrS7ocaSuquNBWbd2j4Me5CW27Ywy+AIoG+9TgWy94pyuCw
zTr9Imklp/MaVOEP1cM02Xci5Ov3Rlut7srBFinP//9gRQnk4Dryis95Gsn4cEMsVlzq3aIbiHQb
ZzFM1txBVTvH1UuAQXiE8wNLx+9/oRdDtDZit0Y9G2DnYsKGppXaMPszhqHFZJeTDEsz3f3OYrQD
cY/Mx6R6+AVkQErQ5hWwg94rpz4Xeu50VnZtq89d38Fv3BTjorewGJXnKlcyjden0Rf6SUUiKXIZ
qxiMB1vNfdL4Yjm6Lu74Dg5QJ/edKeJhL5lw9rwscf0JTFV9ifiohyxwun4rnKvjLI2lhEbcB27H
GvwGWa1gT7pep8Ox7OJo89VagDiiMmCZDMcwCCGd4PlPQcFUqOqC0JwYNX1sZ2AfWUpNAJllmflT
gXFvyeuymD6GUddBXR5tujw6FmqTVVRBXlsIdO+s9l2fZhBQxIUvgw53Hr35y7BM0/eig/mWg1cK
fngj2qPvo/C9H/Wa7nFvQ52T1Oghx4Dbe0h/Rd/ueh+gWYaZG30Pq2oSsEs8lNdq7VsF28aOPFNg
FeAgpsvoM0Wqfoa3690PsU7+ZQBaR9HNa1bgHLDJD/j7vMghfAqX26411T3tW/m2tIuv8sSrMdl1
FTTVvEN1fPMY41UOABGyeBxy8SZx82F7qaWW0MRLGN9JbM1ZQYjy20HTF5eespqd8Ct04zmhrlzP
EZ/Qd6HTScusItMa4DDyG3wXQbjO08brO7yTJr1LjGGfmxawRIcZYBUfPKF1ebDoF/s8nCNoE8p0
qcijpV0niK0FLDUVDZbcO7vS9ujaaCTg5VQFMU+q9GeUsr4/qIg6epfgVrY57GvIt1WQDvOlaYhc
T2rCbxo3uKH7ouFlkbGyL9asRH8ClSse1yJ3ljUYithCgTIasHW4pQW1GcQsfHvXgmra1FAJrqcb
huGMbxP4LAStEeeyLyUYKDbDzGN4LX9KVUF7a+C+/Qx9EUagipQ61IFWX4FhhG+OmqHEGK/Llwa6
ZftOkwjXkNC1uKZ91YyQWMgy74o1xe/TQ8sfd2AtUvB8TTCQjBcMJ4BdAbqdcR4v39d+ZRFQpWII
c8EXaMZx2Bf8LDG3fFt1kNaZDlTNdgboTZWtccHvQGUMQ+ZrVnSHmLVAncAvUnWJtI2+QqrGuwQF
X35N4JkFp4UVMQzMkk+XqYPZrma8MzsdyTVLxGgxYTtIVQeQWGy8kL4pKcZBXqh9FUPyy0YRBksG
zqVP4edQCE54TMlboebhR6gacGJu4BKqdzX78FAS04iPazroBm6mTyAW9PWbgNeiIVQ1ncvw2kHt
dEC/xH3Ie7wXenHJ0zwFqtmXyq2XWKRLlQe1xRzSsK65C+1Y2w8ipKG+N/DN4ahyq99XiVrKQ9zh
vdoXgAXTXV8FVZFrIHgHHuNQx/jajeiao/6j4T10Gdn1Z6fTn4JUGKRV2Xbf2NQ7QC6GmBdYgpgF
U+Z/Ui/L+1Ktq85w6MfPZVckPMMbSI7B7MmCJrAsg4cEw8xHl0iAI5CjMMhi8J/4fceVT/c0knIf
w5zB62nckmSliiFE69LocB+RJFhxeG1z81poO+8hgEGaMfWaDBdfTfwD2oYGDvFYxadyUMXAM+3k
POfj5MAx4nyA1jmDmBG/evP/9p//I9b/T4D79y4So8i/7z+vBfoh0/0PbSu+7Pfmk/zGE/AEgsLo
5jzF6PGL/UaUhiZpyKD4oZEUXKAr/aP3/IV/42/DlJOEp2gY/4F/R+w3Gm6RqTgBFh5R8R/1nin9
6+yz9Z6cowdm2wTGmfjXaXLSooYN6EKovDUgnkY4QXJSyga9khtxdI9EKHnqgiJ8Tij0aACx6TDm
MVG0fYy3oy8GGVLutCzJW7MdjfN2SFap2M7LqEl/NhicMM9tB2oXFdGYNbPAOVt5iK251THOX+XY
OJz57Vx2vsM73ZBm6A8R3kELYms7x9PbmT7fznfPy7DIWzWx6UB6iRqQAK8qsrjtO7UH6Li+yUGr
8FTeqgewHGiZm3vS5gHZKgy5VRuYpelPcqtB6OomsosnHrfHgGx1Skl8z1yGyVa/llKKPOx76AKN
FKhxCeNNeWBb6bMm7VEG+5Kyz+5WHeVWKDFpomaKugqarLzVUnqrq7IZ63XHbvW2mmMzns2tDre3
muw8RX32aWTO9la1o75tJCTdrZrH5ZC+oaxUdZ6U0ajydiv97a0LYLeOoCYdXMoyieTbdOsZyK1/
4Ldeot3aikYtcZGNt25DTNq/rFsL4prFzFl760wCtXUp7NaxjAss8SyyAtNJKLtR5IFBg4P2E38N
dhB9jzQSPRCbimLIQd4SgMu3PinhBXmfDGV3tFsb1aMnAnqyNVcJG9IXceu4EjuJS/OrD7v1ZCFs
1W7zkguoOHYIlsfKMfRwzdbOlbfOjm1Nnrz1e92t94u2NhBGOjpCeesOldk6xf7WNY6wAvqdHQlg
Js9HOoGbMXI4Qkbhr8mt96ziUTpYPlQey1t3qhY0qtIkCnWVzGAhtkY26gdvz+2tv4XAZeTeEWo4
+tetB65oau4bZCXKLIDchikON/epq4MEqDcD+QMojaXu9At+XkCLqCNGKKezXwj0HANyasGYg8ga
EIxIEk3RnACYKOtW5HXg5mL3i4qOmoS9aI2GaOfqNbg4xqA3qr7U0RfaAIRGbUjWvr7HQ44IQ9R0
PYa3iGdt3TZ7SM/PzTo/KFP0eznSGGrusD4TOmB4TMhejKnK8TqWKK4N2CAPBXsElTnnjBa7G23d
8b5+jJk5+s4th6Ic3pxg9ErA5PHev8e0aONjM4ziPk5Q1rvyp0WF3VckLvJ68dDXynBHyBQcwsbC
617UV3j7KRwkAuWvokGmY/FCV+EOUS8yzG3BpVbVkfbF8Kky7ZzkhpRaZKCmiv0iQCYrSNRpqJLX
JVR1tnTrmqsGLE4aBnDIaAAwQjefDcggEbCPaafsuy5IH2TDDqYD3w+Zrjn1oNfz3i8/QhnYrJjZ
Q+xGDIrgrMzPGxfuLcUMOhiMYEXB5J2nidjoexDiJjb1zjlNHmzjkQGpB/VKiqQ7G1l2edRamYuV
2muKqIbPUlmEX33ZfS1mt8JhCMLhpR0tbA3RwD9o4+jik+AVCQk0KsmsgKI1HMCkUhiDOH8uzdr7
DFB9mfWzUXc6rn6ECTI2ikzhW9AX1aWw5fIu7MNxj+mfCRB0ABSDGk9ckS4PfV0ue9HDPDI4r488
bfBGopeN6P2K5MjLhA58J6spfWiXADjdEj0rGX9YTfUhkQoG4oapw7p1e4VIXSZintxtrDqiPPcU
gnO+lJxmYxe91Ou4xyEIHw0uVjYJ8xHk6AQAbawk7Ef0MK7qrm2oDriFYAPh5WsGmzmq6SEy/nPD
+4/dBJk3wn2raPvQcBw3eDQZB+MheXyfjLIEmkT3Qw/Fo3Br+gDZgr9hAoEt72fMRRLkM6HqIMoi
D9N13updd6cViXaRH54Vn16GyrX5jZenojGXsbSwIrZ2Oqmq/ijm+eCU/5yyKMkMYcNdXzvwIFZc
bd8+I+d9qJp2zk1PNNIz+iFt4lcj2wi1Q6bZzOVXvF13KHnvuYgdkhYrxlA3y5wyMKOs7161hTWn
lne9Dg82JWcz6qdxTQ9wBEHpUEfAZsKY0WS+6DI9jmob5Ah+9bhyalfRsLobhD+UDXyyeZH3PcUg
n5Tk2rQkguUM+obGKtotajyDKmzuy9Ct51UJaBq9+RwQEp/adu2eomZ42yj/YYjcM9pqilzHchUp
fQqq0WVqaOg1IHGMQSX6QBQ665nSE+RVCXaJ1ad5YfYAjy96ahroHVTD8O7E3dgs/tgLkI2JodPd
CiJ653ocmL1dz0hunXXirgPDx97P4m2JRX9BAONVTRpWtR0cfDz7OCPh8gEQMh45BLEm0Ev9TwEn
/sMw4p3fvMzLIskJJfIifYishE4BUUqxHCoxHn2o6En6/rsWYT4YupeBp+lumgv9eIscEFc15wDq
S67q6j7obVSCWBvPaz38FCsupFhD8cJGjzCQoQ99IE+/pxLq8dNU8Ie2icaNw/kSs8oCLG+mS4mE
zLlpbmA0HG34qA/4uB0grbABK235YR66atoQQ7L7FWEYlsZ+qZw9lSU5ImFwWC18BBMF7T5ckgPa
JZbx1p1WXMgpQNu0b4iIHv4WcIjCLt5vAOOPW8ohsWGcN806gENXoIA0Zucg8cdb3CF1ZIyuw8T3
cm3fgWMBw1+8/Uo+TA5PAkJbz7THOYbz6ITnI9whhwQHDCmB3Z+yEHwc90Doo72s7fiQksTsrYsB
IZmlNadwVKA+NKX+HukO/kTh91xvOYlIejSJeKajWM3fWb0UeQck9nVdAZRxUH57/B47fHAYndJv
JDTdw688RSVViRtX99F1GtomX1y76/x6Bqp1CYr6gDv//Ra0ABpWHSAYApBQ5V1bJMsO5vgnF0Qf
bsmLEWThAf88n1u5DIcARsTxlsGYa3Kl3BwjQq+07SAGPMqlr/cg1+07W79OdMl5q+xOgrveLyXe
y2k9/5HSqNIxA310V6NnHdrntIiPUQt2YuTtOQ3cHoIOOIKBKqACAynBVnsM5kiNfpm14U+VoAbA
7fg4ouMmfR9mlFGOqqPrb64PAKDKITmudZjiQHmbkOnAIzK293r8HrrwqIw/ezXshpq8iG696gVh
oS6AGtVvebqmOIhBxNcSof9f4ZBFwR2sW18AGTdoD/XFxADymab+XVquX3FN4G9tFroO/hj/iZZ8
3494hU2yA/ZyqAf43gbcL+j56WAaCvCpn5IcmdG9lixrWg5yjU72eAuZ3EIZflTfE8zbOEufWkQO
t9AJDWAmQ4DfGztfBFHfhhYKWTC7a22q1yEqHut5frZl92G1LHOx/LqG+grb6g2a0UMHvyqTnT9G
ZfrmAqRDInu3FICThEM8ZVmefDfnwdD53VJPx9oJMPuIDWYyrct3VYxcDo/9Ow9BspmrSz8nkKXj
8RqkZQ6CoMpvuRa45KeqH1l2y7bgxUCqa03QyxhafCxYbfZ8TMET2yi8OC2B6iKQ9elXyCWYuDkY
swBOXCmSJVU3q89TE6YnUPZAABiHv8wGJnaN7Oejq1i7n2VanlrDJ8CbywESyoXLO0jwEmndtNnK
/xcJvpWu+wmgvU/XR19rSJZNVpt3nejzalwgdnt+diM/gF35+C+pGU3QeE8lOyHX8ARDEz6uf9Rz
dbe6Cg+sXo9BXRdPGG2QNh2+VOqrHOO7rU+dFdJvwaZaeHWmbfnGpp+NM3lAXXK10/uV1TtdJuA9
uich50ceQ1gEDoaMYnjxIEVBs4dLc4KDexQO0Y8J4yEDHAymLSs1QBETZZEXp3paskBqCJpRla8T
YG3YJVXycxY231h0Z8vDPC7QqhzyiieDI0GUD7dUj0yXF5mGANrercj2VNvMOJN71k556mpYf7D/
muGVpdOhFRVyDbaAy5+Nq++yqX8Z0GA5OAMMFb0EZhjhGPZjm3sLt3fOa85y1E8EWqK8xAWsHZlz
SKEnS6IDJ+MDwqCPkbjHUZWVc3GponNJ3xLf3UJEizXr/cg+Sj2gC0WEUTeb231fMtwiEeyodfpI
afBeJnSHb0QH9WEJkT1w2eq/Wb0m+wqwapAY2NQ/m/S8wCNH+47PQ2Zj6McD4D8NOQ8QetUbAEpb
LAlRoP5jCQQi7/8RTcJ5+krxQ1NVvplGnYbxG4xosAXvE7CN+3Hrpo2nh7EQY5YMzUHz5rEAVHEy
/UpfGKNV90GzEvd2aSrEnidpYsRR2r5O0C02+oR3oET6cRJuONbEJq+aA2AKgOuvSE6EZbxvQg22
KwyY+7EKWtD9UgtQ57SMMbzTtkqWzxravgUyB3AEwI3vybWq6PJFQ9nmuNgJL7ZPWhjHRRvqedeP
FmRP0Tr0mt5suAVXhc77ou3lHiwFZHcyzJxjwLVJiF++Bc1JYUuQ44i4KxyqksBVG4AiP5GBre1l
rJUcshDADTbqgNI9QOzAp961U/8ZZrdMABiVCUBdyTCR+208jms8NYkR4kPUtUD+I28YKKhIRyeA
qT14gynGTf2vhfzvFxH9q4Qnwv+XhPf7Spm/S3jbl/2S8KL0N5LCO0ankkCRQ4L9Dw2P/0YQnU5T
EeE/EJZgtcIfGh42rAAqwKoGnkYpvhAYxx8aHlY4hCkLQ4IVDzyENPif+MdYFfEX/xigxrYpAjoe
WA1Ko4T8i38MRI+s0hk4na0X1xqK/GMU+SoLw5ldI0nr/Ry3w3WZxw5Bnao4zj4R16oD/dWEzfTB
GCRofBWBKUvKFEQ0JOuo2odB5cuD38T1/qazj80c6fuQha39UG9SfGkVMVnXEzhSQcPWi73p9lMl
kqdKSqj5ccmcuPc3lT+5Kf5i7KH+24FXb+NmCYQ3d6C6OQX+5hosNweB3NyExMvhh7ALeYMnDbdh
CKAd3Y8CrDFAus2RsDd3Irw5FRFZ+Hix3AfVAe/1POwmU4QYWCI/Q93og/PaVvZSLxQeiPe2Dk5K
VcHXSrQUoB1u9FfRNkxdsJkBg1/BU6T1w5u/Em5WCw4LuC7FzYEJb24MgL3hmyq44mdwQKPJipt3
wwIY9Dhpq/Y1QnZ0Po/x3N0h0REdSUTaE/Jj6d6LtjiG0ygB+pYc3VbdJT8c12aEEGeXZ4it4bc0
VfhYhO7kR6ADOosNT1cgeZt95GMstci88Bg54OJD3GwtdTMCxgvaEN/3xZXdJNt2U2+Fn4P0NN5E
3egm8KIscZKHKsSz0t8OnuR2CEHnAnIXISWj81nO+ohyoT+5TkTyMAI5OEMOgwTA4bV1WVguOIB1
2+lXdPXzO4HQT3uFGMz6SzThmYPLRVFSQfJaaEWg0kEZNOV6QuqvDg8OwjTLC+Vw9Qk+ojWPUTqB
6wfz1OZOpWgSED+sOQS7GfnnCF0vWLhKT+EHP4dR+QbsCvojnpEE8+04WBjnUTBBGagF0GQ7Ikaf
dTUvykNiAbcedOPRKDSiAeRT0Hhp9y1ES5obadLhwKXskGyzt19Kc7h5sXQOJ7XkJITT1NRvqww6
huRc4h6R3opwraDwzgPxJT1GgkyPCcK6RY7k1dTt2gmkp6yDqDtOrHbfl9EUHwJdF4egmgPzfsKa
lO+KzBo9r4skqmRXHFEkm5wJGhRIfkzmNUh7yJnV6rKoqf0uxsefwwSin2AIhd+Kdel2EP+684wt
JEguD8XRLH2hs3Xoiof/FpP/fTHZGLh/7wf9ZcPS30vK9sV/IEkiJXxb7QPmbKOL/igp2BQlEoq6
gaDNxirhX/4oKclvIJJgGQkB+XfbGvTPkkLJbygAiN/iP6BMpTH7T0pK8jdbaFsKRHmEK+ApOMNk
gxD/hMThGG9pJ0yF90qsRYYuGwSpIOYrqbr0O69UBwpYqCRvZydt1vplmR9FqTA0TghZkbvBBkVx
MnRV/bFoK07B1AQ46XqJxSN7Vrf2q7JMtzsSyQJIfmEI0Pi0E3TPO6PLg0MA1w8gy5Uq90QnPYLZ
DNMwlgcZ/FiVuu6YkBEaIwihXEdEXtIUgN68huzSCpCfpGE4g7AKgAzn1ZSa71xZIHIZzpaQHbaj
IFNC0NPtkIyv0AlSuCHosmf/Ee6Gzbp4JOuRiUXsNbZR4AgwKBJLNNkJTR+IiB2dkLKjkG67U2uZ
co8IwMzhPeLRajxhHG9JPpfLaUlrf9cmEgoBsk865gcRdazHD2i65y6ZcFeiLjY/FgQJ8wmbbz4G
OgXcJRyWWWgD3gnOHavuY1WydlevnUBLmgTmR8EHQrIOO6LIuWcAdHBu8WA+skC4TNSawKSGiokA
BEEQrrqLl6pZYUK79Q6OfsTPwGinN1XyjuwjI3n4tEy0UDsQEanPa6YqmzmDQEEdpOQdEjH9claK
IxHiEAt74jaQ74nW36ua9MlOKW0/Bl2LdHJo+2rHwdZUi0++Yrq1bie4Qhq8MhbDjdvIrWQwUpyJ
LfEZCl/PyymI1JprVstProVgeAZrvLgDjC/RXFSs9sQ2IKyxDoJV3WsHDZdzd8eGNr7wpsvTMs06
4fXzzFLkuTFglKl6P6cA7eMRe5Sgg3aOnTDH/5C4yMVYDgm5R/wTptCJQ0RnrEnfxat6VHGLGHMM
amRbCzQOCSw1BEmOXbB+1kPzgBUfGMXm5j0ii+G+srFEIhsmVUr5fRA/DgVyQ0tMzRfZ1XcyQNkm
VXkZas+RuquxmydBNDi6g5f0yFedyrMcsEAGXQuu68+LhfgQf51mDJWjHIIEaPRsquMiTPNoEYKH
BGq882NmrOqWU8+6bdvJytirjHDPdgNZoeZbxaq38Eb3DTfSj3hAf+7G/8HxAgsIsxJcIMLo/F7f
aMHoRg66G0XoN6CwqilU0iIgiPb3Mzzeu+jGH3Y3FhFYG9y28cYoIhwLXrFBfjm5ChWilMboRYoc
nZQt7upIFz/6vnT0WFjdhy/dICM4MMuCREUFOARP7TrxzLJ2WPZlOSEXW+GA2lUmHIJdEQvk//3Y
4HG1ZikyKjUC2mVgjd2JqTD2iCRm/Bhjt9AD+LbIHcZOtwQ2mdLuWK1T0ex6J128S2iEiEc41PjX
sErIssf2sWjZo7kicJy8az+mZVRAd0g/z9XansyUfPDhu2ad9sjcPo+uuxOufE9rfoYG1N4xUV/d
EpwsktSRbK+iiZ+3zIQFlYY4/gO0pYfOxnuu02UXd82uCyKsVltBGT6amn7EOVvkNikPo12wKAfR
rWGxe9FNmEsH+6RhdUy4y/GEjDFNYNB99Z0a5w3+ytBZmR0o8DyQ/WWLW9hWPptFYseSvS+hQfmF
7V2LjEUN/54m+kCSts8Q4vreLz3CPlhC4+1yraIOmxzS4bo28oeWP7oA0vk8iWPdxndqaj87POMz
NigwCeG9Yg8hVgNlJR9/jIW974GzkcjvFPsZcPXQGwKjP8lADuwNwwoVE+KYw0+V9fct4YFPehcU
uJyxfBC8eEQC9g7w1ItLn9jwBkUeewMS8Dt2Tj9FbJp2WCSBVwChfTCgExatqMdo6p5NAFKKwhXR
LjlCpjyXtjkIKxF7wY03+oTWK9MRNs1IwFl7Ww1fO2MU1hjwlzqNQWOuX/qhiqFE9VdSDodblqS2
w/MUzMseOhKWnkRx7rCpBGhqgcDMgmGCRVNg8sKadwW2MtUSedkpqF/t2DeHAVmbHWcaW2Jas2NB
Gz03Cel++tZuaaO8br7XSR3nQxpiqRWmqNpDbcJsQ4MP1OovMRI+8+B3fOZ7TvF6aOyAafzDr4gK
QTwIi3nmH8h6gpENuvfG2OUWVYF8IjAhQX7t1gF5aQEro4TYDkb4FmBRk70rffWp4/7qdPTZBf0j
8pt639GpyPpxflZzhMe5Xh/aWax7uE3vV/eMzSi7KR5eRfxoi2AXjcOJJctxBRIAFxELE0rsb+vA
or5QasRnySxOTlFE66e0EYctATOm7oIzM+dQdr1aTs3aNlmSRE9bKmYKJgelhJ0tPmp8luAcxhhb
bhhQE6Mf0YiIs+PfvKzzMP5Ik/oyrBNo4zAv3TRB15uOfq2wI4ixD3WDBXozp8hOghN+7HA4Yn0c
vDiIMV3Yvsd2A+xqAj1h2qdV+mjHsckJSmN1nqP52vv1KMoetuOArQRYXzUt31zD2guYa1QtXXzE
QpENcMNDb4o9fKEmgzn1E4vujoAd67wEzAbvGrsDQ4f+/31Ei2xyP/6Z18FmPqR3iiPS6LsBGdSM
JcmJtfFVx8U9TCCRYdPIrobsdUeSEXquX19uwR4rvqLmzldRM3LsnCg/JpMKphze0LgfMEx/SqiQ
dMubkQ92sPMn4xBzwwY2+JP1bPcrl18SiaBI62Gy6xGshI0mgSz3sI1eU1yvyPmoqvqCCo4gYUkQ
oYFMCVq4h4SeqHa3uoaocytiSOKtToLqU+Bxq3cWXa7NekyHRzDhgc6g7iEPnmIh6nTkbqzvYcuS
9RIhSFq8OutrsOxYYWYP41JGkH+te67YOKzg3IXUGVYK6R+eOrFLsZPknW/r8hrbwl7bMWGZmdxZ
ONJdowk4dOrA6DRC8YMF5XQqVFpfgMTxd0VYYNwMoJtDwun3C3Y+njRf6FOJFPAHJaPSZNi/k+Sd
7ubHqTf9/VIQvtt2nD15r9UzGfxwr6biHRnb6Dq6QTzDhHuPirEA+A5khro/wzqrz9goMh4MZ/DB
vVn81ykcJkytIdjHvlf8JVg7e5mhapyRECmztljkhXS8AzJMp0NcIbmZEcLI16VNYcn9H67YukK8
KXIVTgPUTRC2+slOUYpxFiuSDkCLDPJQIZlxnvYhePcQ1aD+WIWtFmi3x30BXJHve4T1wR5bHYE+
bUMfZoJ2/YjVGtG6w0a1JTqIdYasUtJRvweIDeq8bgEmXo2UrNohETWr9xXqX3Uq0JRPD1ihUfI8
HtalAaTTcg9jSzThNZqx1ei/uuUvcfJ/hR4KqHj/ftT89OPve9n/GX7ZvvZ38TL+jQgWpRg304Rz
Tv+YNAnHNEl5KhIMD4jHhH8CELGQGGYuJsyEJ4zQZNse/Q/xksa/CRrhO24LjX9NqP8I+vwlzYSN
9L//+c/7ZwX9a5xNEOw9BuEA6TLE3Esx3v510gTsgHDjivWzDluhzhpS5AGyPxhwdCPnkjRAZ22H
sgws+XMS9XCnuPQrqqjahLFeTKNHUDaMjgjFYbWUjTD/sDT90i3OYTDtsZ2Qkiq+Y6qbPmAPTdPs
w0KWG4Lt8VNrIdz3AUc53aVtK1asP9PDF4KuN8hhJUxP0+JBiUuoWjsclOtjCsvzDGmM5Bjhn80U
qZyGEb+/XWoLouIe2T3oYmtcIuPYypgXuCBJwxygUYLDqjCghTwVBdpA7953npQXW0U0QFrVpNei
Nd+bCVlDjRTm09LhyK5rrGoLGHbqgsq5p9i/lSuE/65Ah9NLuVqDmLYjJ1o896k4JnENNMi1c/oD
9MDwrGHhv/5f9s5jOXbuSrOv0i8AxYEHpon0SWYm7SU5QfDykvD2HNinr4VUlfR3V3VFaV4ThUIh
msuE2eczawP4qDjDmOZXyKc7U1wwnBRYRuh/u2MRKxLznISMeK5fzNbvO0B4ZLZl3UxHM5dqW+XK
3/SDZWzgDzkvoxFT3/Cb8SlJvS9YwdWh5WHxMNLwIHItIgq9duNxygtr+9JHptmsMkA/W2hPOSOp
Ss9UXpmGmyI8aNQIrrxazqk7ZX84x1rHoTJxFAccZhSDIvWBDafAHtfhGJkdfd6iTdaTL5cCSkw4
yc+iAqSNPz3whe2916Q7Hx7yw5zX7k4MY0YoT1Xp79GI3IeczrLzYrpRdbCUvi30Umyaqpp4cTk0
cN3EWTB3w3UMbd6IuTbyJnC0a5yW8bWCbZmOo3n0NFM/mUYNO3Aw4o2deO0p6tT8mGt9+JYlSfmU
Cml9tljCvIHy6q0yS0b50S3VGn0VVllj+QcYqPkFJNbPNJb6SiM0+xuH3Dxoepe/RmOJQE+H6a3g
QFvA9k3XeZ4+JwS/FQ0QLP6qncmSld5htp1sa4dF8zqMcfNJi9j76XvLLd5EI3MVuAVoMtUKYi9A
KHDmBnIE2O2U44xggEv2401M5oeQ1ONn4ZfUbSuJ4Eg1PfTSH2h4vCWmgiLwSoIcjldDpcHlmuw6
zVdDlPh/JEwZ6i+5yWQr9RAkVKZL8ldJUiPYFoV0xsBwIuOD1M5gnsm052BOmihc1FbEqG2VNvmM
e9YSRLWQ0eE1NkOtfSihaf16MCYoGVPe+j84EgtpNfJARxDmbDG3owSST4ArYIpdZtm8M71OhBfH
bgnJNjx98Gh1L3sA9JIcXdlNFGbV7JQrJ6odYyOKyNAIq+Up/qPfDHYwk7eof+m8J/FEct3fW87M
zxdoNBQ/E43L34K15QdFmYUwz8htyCCdK2vrtmjzK8OIUI0arVnHlFffon7RsqIasqJbFNOvRO9C
aj8zGTzgBl62q2ff1YIqaqj8FN4S7WXmsvkzW/OikVOOvTYUU0qCgymvdNevsmTjDn7lBElO2UNY
RvQQuYI6UJR2loVk709jAPoTR5v0cv06iHooSNQ0xr2IGkI5nFLJESeFmV4sGCnZoiZonNftga4d
Ty2LZvxQNcdMmVW2LcqYT3rxxL+N2SguGToDpLEOAvLecWBYEKHUY/7MbWXld4k9yZeoNut8U1S0
A2ntL6eVMHZ8bS3o7ANEKHTKYRG0pk3imWaxbbB2KlR+barRhqwsXRullxprHj1lvxdJD3+QvgyZ
akuC0NqGEgrBiq+dfpKkQ8yrijp/p8/D5SZvWnpdCU2uNJ9Le9UknF8NyvbGORtcKkKYQGm0pbPW
UxArIjLWnXSyhwqqFZ5I6fdxIGxOBPQs8pTLpdFLbz0VxGVQKjjkF1kLGqLsXD5osNMRHg1scZCe
IHoY0GoOEA0YxaX7pJFrFKnW80DN5HJYEnwBgUxrNr6mrrYZpdy87raAdbC18r6JLp0Q8ugZHf9n
z0vjBwY5/QmvHTWBNSouyLh5wLshz09xp6MY6J8HvecaG6dKYnDrs3/w5MD354gmjo1eKHNlMBAQ
CRjz7APILFhGR/UYLqHieb3qqDWWD+D3JhFgMo76foS/m60p12vqrbPxQEndTu68gsY564csIj3/
wJsYunjCo46HHr0ljgEd+EMDqt3EjaOBciL72zirrm9855gYJK/2Q6YyyA20CX8yIgBig51U/Ybh
WZT7wUNsIi4b4c74U6uyTzsbK3ClSTyrLVNuJQiTlAtGiSF7WJVhxbsFvmQbEfieuuIAlaEduHTT
RlHksYxfTO7M+U6exu+OI2ptX/O4jrdAEEryC7kVf1f+wMfN+2MgpCsIVqCzOCUqkVva9xY9jmQV
FR1kPOnznBjSKmLSsDoSr1moP0UEoAzsttl89MIorwMALyk6RuJ8E3TM/nQaOlxgVaP1gvpHCtMx
c/WSjJ7KCCmbPPQmCu/jtswBAPKi0s3HBBKxu9YKJ3xqpZ4mxwk1i9RV00ixKnnEW9iZhQURpx3C
V4CmxJWgHcl4z/sGGr3VlCZQKEqWNBA6CnucqsAUvscOxCb+zQa+IZUtu35IMs3+JHtuvg+GyXM9
gTzerx2piKI7qMbjWhKg7HdGTAqC+lNnw8wOR568VqLH/RacR2zuK17UhMpmICOBNTdZfYfsDmDJ
SQs+BUQR88Oc4v5citiDu2JmdbvGvfPwFyC5c+oNIQwE/BYoa1laVBtObgwSIfcF/cIxHCdoDzpa
HSl/PimjR6HkGSvBWHP4G/nfARiB/fGG4VU4cdUG0ojyH70e9GVbgTkY64znzbGfKvOlj3uSlR0U
d4GC0yB7GlDQEKEbkxmgMOzlZ3L60uFfV8jQTkEmeZGoCWprcyTTlStxSAPP8eXzoITp8BfNi1dT
84HbjJEdv+g8LNTa4bwIDtZz6/KQKv5tTmjzRrAAH16XKki56sJ6G0LXqlcpJtVjhlP9a0zI3wWD
Uc8XRs+4YFIoxy3Pjf5No/9IYbeqXHgyUInWMa1SHv6s61mNTZ/t1GDoz8TWnCiglOC5gcIo+Izq
aE4DJFASVlo24HiaY0MQpReF9qnzM9dlrJDVtdRN96HToY5ZZX9uDGRc4OFFsoBm8/UEPd6lqJu3
h75ihgimyMbXaUmc/9YIZpEBEmjn8UQGCxA1x2SQ8KoIUqUiklT+RMYHvzXZFGm7oJ1YdtAFIhZ6
SBvGmOFr+87wSEfjByCJXBfcNqc6lPYaTgVOqKFa+1P6Yc8IvQB6iY39+EAsTsLjmo4zeWI6KJ+Y
geY3EsHmupYF9CXLD5snU3Tmor+Xx9apuocOv+LLdxQruOjCqH4mHg9aluzPmPGQ19tqbVkFCgkO
ezBC9t0YUSQCqTXIXbEpjlQcYLMUk7sblR2SMhNoLWYmLoVRGwFewvM06XJtJjOhga5s98DIkrVZ
pNor9Z5fk+vEv+lRPY2O9V6AfVuXQiQ76bUOmuXcBrnqOgiQzJ5ZJrq3eh6sg+wT45mGIOEvgvZ7
VxlUON2ueBiQVaDi+pSNNZT/eF2bgz8uSCKmi5zuobT06uIjVr7HzQ1lWmEVadMsfgtdGb98noFH
u8n8O2oHfDvlFOcRbswqtRuxlyPzOPk342M2K+sY66o89sWA48yait3SFIN5ns92tGMI6LlwHfDm
V3YGcGWP2bQpk6R4rObRrBiIBpC7hIYpgFfOskSi7v10o7nAbasR4htIu/nMLdLdAelDPqVNzADZ
UdnVC92962TZvmV6N7yjFEbXGbTrCWs8ob7bgmbr5vEt98LkoYqnj7jw55dY6cOLVib1eqiRm8LW
Z9pki0fHiOuoDzA2cHXiWDZWoFqJ3CWMUf7JM8s8wliOz1FFFBydI0/Q7wE+Gx7mXJRHPDELxbjW
Sf3c8PtCrk8Mih7xFNSFX108Urw8H6j9bmZp+K8MjZh8Q9RwboWV3e/Yu1BdXMoyv20Xq9Efcy0I
GVYfCxwswjGGcZYipfzaJANCjaY+gWZ3zwth7XemlePZmwrnTyuU9h5H0As0O2c4XvIkoR26G8qz
chvW1OKQ9l97lB4qZV1/zkevWpOTtino07HTda3YeLXXvicMaWudFiO/r3Ql0d5Z9Tuyqk2zThMR
k8j3y2+/EKiJYVMOB1eb5LpiecmnDX6y2XiG9me2lPdIpIc6gR96F2ckquB0vvVIrOfRtGLIUtRL
rAPC8Yuo1ELo69hJ4mSXlkUbJ48jwWYwDLVxaY19TGnUQPRruVRHN4WY5gNaqpwuiziZtMl54pSN
76cZ5w603QV/Tj1Okrf8Sifokq7IgyC34wnRkWi7yzyPHZ/9yATHeV22d7cglNZXnIWz3tmgmEMU
9yv/gp5FnjcRag8Mpr2LzKb9Afxu3ZcMPAh1RhHFFO8cNQZRBPyLm1W3X4RHA8kMnThd+1NIrj2L
vYeM1S8vTKWPItK0SztBvYNChykyj3SH8VfFb+QP/TfEWdJbaijiaw6Z+C2HXX9fN36PwJ6Z6wp9
94mkFndyR5ASnLV9V/UFlip2+8DEsWX9waPj8obwCo2IdKo370osT6Io9R8kLzFAR7xy47lY6kRJ
qu2tsG7eiraXiPH28Jv1PvqBPnSN7ZHbd7jc+jePaqz/SoTq0zZb9XLTq/63WPw/UvdcdLj/v7q3
+fzv1L3la/89RyL+tgg16HQO9G6LU/I/ciTG3xyH9W4+eUWWOgFw+kuOxGeDFFER3zCA2PDO5qv+
ou4xLJD6MGHl2K5l/EvRxFskhVLVsoXqP5ZLsZXEIf9omxZpyP+k7nVOXzcZ5a3Mh4Hc1zoFfK/1
DwIiZ8hLINIfHdjezNQyp1gypc37XGlVkBCLOEdNVAauoS1lopL6ywBIv3QKdqjMYXnNzbFX4BCc
dmbQ0Ft9bcaI3us2MrHvZ2v+CIUrt2TWfXPZmcOzmaUG9qrtxXQgARDvPbMcr2UpYDyOnpODuB1U
/Bh7Wn61cVOW/7VDfovNSDHK2qCtZdSXj1nXcSfWaQjCcvRWbubnD70/jm9eM4UvCqc+WtV1S058
qn2+vvfSctx12hLss9KBX4F02YjylBFOezR76P5bepA02+K4wThQvBFYlsnulC5q2eZiRbPhrCWh
6Y4ODVRdAIoTWbBycIH/zDyy/KmmkzFFc7jnxBhfyP3TrKvyseGAMPfPQ6tsXC2MbqyfEGb5JucM
NK+MNOJ3irSIdlyaJ9O+raSv1pps+XY0WlF7KsLQ1K8ynx8LzKzyAEqzDoLVJgOgQzALvrbVWksd
YaurJrBEwxM0r/TfcYYeqDF6z2Tz+xASqxdPCC5TCWs4SzwfPanVzECGxvxH9L6G/yVObkOJk2Qn
nmLQayN4SD80/DZwEGfblUJ3OXdVPAdYWjtTmeLZaCI2OtgjVhAwEYrNUNCPVmiOBpx/i95N6QxP
cQv6PQD2grBntYHAdT1F04xJNTpcXvwnQwmY+oKVKnpuQTwGIowMQHVmuGYppbvK08D/VAMjYpWE
lFsB18hZto+y9mjgEazJdzJzEVtyoKaPdubZr3EzqFXpVFilRVI9jUj0l7DRPF4pLBjphFeSC9cj
HvJlFj/mTgQrr4td/Vklo3vHVgdJCLAtvlm8ljPjuCqiW2Hk6pGwOfp2Ac4PJFpGAFfZ9llvcAZd
dFPiiFN0zHSzOlRtpgNbx/ciXZKgX3UWJaWi4W5ajbAl7y2LUagiW5BUs3m1vRonthRuspUM21s5
kJXpTPgfvEgMXrxRNw0rRDkspHnKhn3S5g8TeIMtwlmzdjlKrmvWtT1mpcF7ShmW+Mn578/GmKgn
8Hu0ZgsDuJFHl4XpY1mm4UAWtSr/pzHL/BQNefbm9aP8NZbL/ecP7mUcIQRaKaNFZ4QExVCAumNV
t9MTizOKB2F0nXWhVdb260mzdANYvlv8lOEg/7Qz4dwsrrNtAwyx3mIbuvtkWj5lBsYSCaFoNOTB
Wb04UND3ooxoOC3TMNEXjpOVxYEhLkz+5Zml9zuppXG8nW4mnbH4dfbNumsXF2+kK7V2lROeCIil
i0kcslUA369dHMB88QK7my04Lw5hczMLe8LNW/Jeh3xxEp3FU7RN9oVxun0WrLJ4NBbnEWDz1Vi8
SKdU0SP4bvMBtBe9c6nV9/XiXkpeENzXi6VpOuP4kiw+J8gxOpmL95kuLii8hG6LG+OyvwyPtF/c
0i5mtZCdcz+iYi1eKq6qHnYMaAYdFxRYgkpuckePr7wmOYDYWhXxt7yZtPnNsIWuOjyqxcX1b4bu
kJeAysyb0dveTF9v8X/DmxU83GzhLCW1s6oXt9iAYNqteGZjIlc3QxkMLuayuBnNnWMQDyQo7TY7
gDM143mVsxMj6Iop++huhnV4M6+T2uViARrM+qWhbY+c4KmR91nQi/rVjyXxiQ69TSAgppl1pyLk
vIjU2WTqfwB87CDK9HddLcjsUZmxlcjXLgRvc1dUY7KblL/VBwsZoUIkdDvHxBaIT2Mq7zuEo3Qb
efoZ+wLYcsN2J9jsGTSzxjjN+dEjTWcnBdAzv9u6Kc8f+u5FJ19xP1ah7DYNgQKNVE3hp9eo8x8h
MLxrgnxyKV50mW2i/A6x5NciOPayfvc6uVHxBV7oJ0grny7zgtrkPoXkmbA20d7mIObVVMenG3oT
/FnQma/t7NxpmHm8Sh7tscCV6eoN6nVFB3A2GDL5ezXmaaqQ/Z34hf1sK2LwTz5x/KBccO7Gq/Km
XdQ1a1ac6OSz1MoYJJ5O/1CwYCSKykNN0Txz7h1v3iVm9TO3yXbOfY8Ufd2q+yaDLjeIOxyk1Whz
1fPOnUqSo11P+2n0nnpD27U+q08QLbKEF4FXorm2G9UCAXDjQLneUwGL7cwhLkLM61amZwc3GChL
ACkV8jWix6mo8BzcEQ74jbWqso+pZqsZixkc6KBSTQsp2NfOmW73bzxC220XD9wxlkt5Unvp4QTd
ykkJVYcVe+cAfhufou53Y9EEvnIeTAWOq+9+0sE+ZqP+S2/mezfTDyxB0lf4+/SKEUW4osgN0nQN
NePBtOo/gj0yEp+N/RDcW6QbjlXVb9mZ5O54ktKVLNDo/g4edZMYWnvI6J11MWkh5xvuOgqc7nPE
pQMVdkRc5H0+w2+ILPU8NjDTRu4yUiNzW8BS68f3QrD/yxtN3kDWxOnPndlYQhyFSBVneNp0bEI4
ua0GiOEf7FJPVPmGVrv3hIa/ATPUBbJxH9hBtU3q5Jgl7bWo5Su0+oewSN6FDSNOTdrnCNZ1CY4i
GGrw0ufsUJrE9uE0CMSrqzUSFnadujlIPFpqXs6a4EAGYbNqdxFIZJDrA66eFjPHaT3Ure4Qjc29
NXFYaecMO6ixhk1Ia+spr1UQOWcv+jKn4cgMEq9wdH/ocO2NSqBow4AConUa0fNgJR09TjKrxPb2
AzFRHI4i3yRCux9ZYlon2To1xgdjekoZUiC1p4N/6NVwNKDqKWK+G62ngan34JiAt8391w1QIaLw
m1hHIIHeFtmXntPUU/HRib6A3j2xVWEZX/bUZy8A3nZW6+1M4CrgJD7mrA7sQemE9tRz5MQX2dFR
U/KrUfMdU/UxcuiOc0MgYEdBS58ddMSqz5sRErz9UKbNH8PoHxpIWCmOszQUvBJ7PxSsDnPG3yY7
n2I4WpHiGmfnqTtCfpuGHaXUDeHxk2PXH4W8lMa703frrCG/Z8qvXq+mgGvxbKZ0O5MK9PQ1Yhpi
mL9zwX2DeUfcLsXayLN9j26vmP7mTls4AxcWP1h4fi4+ep/dhSRWGjrW/KlQdtXkXHgFPBnCujpd
+l4l9qU2zO9quEg6ElQX1ugsRaF2sAW/Uyt8QOh9ZnfTru7L09DRKtFz/2RjQq/02FeUthlWx3T4
jnS5SK7ajkfYuonlQU7izaz0O1nD5TKzx6JBokTeatv2mRP+2ichS1j4p9Om73/i+FVasPizbzd1
Ft4LHrh1PexTv8DrYpdWUd95Cc+5sYeKYTWHInnSKjRq8ytxot9TE2/YbEF+q37Q+mObU+I3x7Nv
fbKmzFn15bFEs+QC0vnE+c6D4PolpmclvFqb0ke5jzCfXZAUiKhcZKqKSYZlwxpJst6oZN7OhM0C
SaM5mYz+zfDmg+NymojM+gIxdB8RSVj1vVYhqpTPJCCoIBfHxQyNW5gRtmKz7Su7ytLVHCoMDWjR
tAqO7FPDIWnWYVduZ+JDhqEuqObYCUwBtb13c/f1tkgAXfw1zSXGC2kv1bp/kLO0d1daVCQjm1VP
rJcT6ZcTOyHBPldMpOrasjHXAMLHMBjConpo3HhogjB3QROmcdedKqAVz3amzessZVvBHsAePn/E
lr5nWUvKweHUktl3aJBlQWHNGsqz4Z0pjLcHncjlXRgm01ebNO6hpv3JhyoHfycFpXmQ4OPWYvzg
/cFqo2jDgBdfJ7b7MjsDRwRjr/KU5XdgKWAb1bvKLvnjyJBs8CqrwvmNcSiTnOlYmRsQyC4JiPWx
gdzke+V5qEDje2J4mYYsOw/kOnatRzYOyRKnaDnp8W2avujzjZeFw6vLdtO1QTqNkpytMUC6Lrtu
ZZ58+4jNkwmmyo4nllpiErabCkH6d+LL6N5AtrdXVT3bT5qkhg3X8lnGGHUB/zSab5JFUk8plurB
GpbgJOy7Otnj/Zk4h9XcswfAyWBtzprHBEu3y+Bdwga+n5icDxIsb7s3x2c5BY9KG+m2cNlbRMJ1
1vT7rB3btyGPs8V0jNPsOmAXGftUVK2/69nny71b3Ep9rNJjboNTHkAdsgoLiBERwUC4g+KuTkQ9
v1XloH9WbEODRw6ztLlY0KQBfjitHe+on2j8Hx3H/IFZX3znN3cZAlmZ4Z1q9dG8+c/mzYt2b740
G6TxqBNY7peiW35y5tAH2ZSLoc2ch7cdDUb1Og1sVl0JK8X9HrrMtHZD7NAwk12LW1l00cm7uebe
zUHHH+Pmm/oSOykyqzy59ovhrt+8d64MfHgEWUyt5ubPZzevXrCEeNxMPtkZbzHzB5oA30CqcF+V
7rZv0c33N0jxmvNMQ1izY2tb3hICYd164t68JQfMW4pgviUKzFu6gMiKv0fwIXMgbvkDA34tvzrr
0GaeBLWuwe0o2Mjk3LILHq8PnbI5kYZxCTckTijI8d8yDx6C9wVgwJKEiExd7LR4SUiwtrrCbY6d
aFm6OfFnJ17jEhW5pSvkLWmR3FIX1eSl3YG9wUsaowkxKdk/EZrb+JbYyCKrYN23uyQ59CXUkd/y
HfEt65Hech/tLQMSmWNhwcIquY/6JSbSTBaDKqIq6ZH2liRhXxE3kJXFJEy6LHfSH0trpiHIbykU
llc7nx4xjuLQLzEVdUusoEuTXmH14NIx56GPZV3p2lHAZVBMZ0vuZYq68Yoaag048HTo2UZidPQk
MXKzNQmicqNXdVfu2A/mbGPD7THGZ0ffC/ZHX7kVxVda6+1n51lzDxnUqFkAylv0l+SqIv0+NWV1
6VTU30fUUHfSTtGcw7AjnjSGrPoYOr06SGXrz5Xf4206iTQ3/AWLs5uG+QCEiH66a06i/3tqEkL3
f52oM5e27z8lN9rANiu3eJSbNkdQ37X+H5r6P8OjYU7/dFWYE5Z5xGYZ2rh+NiHC3zKcgCfJc+a3
bKd7y3k2t8xncct/AkbjQ8mWWKisfI5e2i0tOi7BUSD4vIiBao0EgNi3AFP6ljMlZ07mNCZ9KnR2
8hIQXzKp/i2fat6yqnwmlIKKrh6SrVrirHx0JFu1eUm5/q+8/D/pKRqWrf+30Mpt+/39f57Up/r+
a0Px37/s77IyjXcOg5QQDSEslsHY/5SVrb8Bu9WFYGizbnnSv8jKzt8AmNNc9DwHCdn0+TX+ISuL
v2FzIwC7BkKwvhAt/4XQqI5W8X9d5LZjG9QDcIU55CHFCgt5+6/9xJwsup9rHNr81mIMMHtCmTDV
pq94MLU7Nxrag9XG/rkLERZBdC/jBINZc0IOzpzVkPX1s5EaC17vNojkYwbOiMWOz6RYulPhoecE
9W18GdqpepC3oWaqitbEdlmGnckUcDA8MBfUdzvmTu82GkkiZh8gN90/dhfuvGXxkl2fwXmsZrYL
kvlhiUTDyKV5Zy/5guZz7tP4FcgOmJNqI+xvk0ENzkZgMIV4nvG7xZgi5UTZbWrvnKQ5xvMreUJI
6K05srWiPJemvx1s9hoBDd3P/hc6yDZMdG0toa/odWfttULzl0TcauSEXWMukRovt6g0u9nuCBF2
fXDb7SR1F7vTLc8MzjAoo0OCSzglzgNFYmZwC/OrOSHjyKBWaM+mBIwuy51OnEuvTKQ3iiTob+ib
/8IeqJKtTsOjJoow+XY8LT047UKT0dmoQNjUvDb1fcQHwV5GZjr3pMh/KC9iy5CInruOeXek/1lS
mzBDdr24RsLuEkXLEExNv9H8j7aVF633PjVhoIVVeQ4mPDIuESdkZKilVieNP6hUe6+WV5fvxYS3
kWPLQkAylbdFUzAX6qOFQr5qKCdsddtON2kmThj2A2ptf001/c7IYEZNfFuCfgnKHCRLtggXH6Xu
v1okmMu55bDavNSWTeJJn12W4pExazhjdOFEHqW7JJrNllUyT52svkoym9cpjK5kJ1nUaT/RT995
QoJxFztj5mwuiqdiTPmmpo6PSyU26Niatho0C/gf4Rctfkr6+SlR2jKKmN+kYZ76ott7OluIQofo
jNutXDZuIv/6O7f1AhdjNG28Q9+gO43dMUxaTg7I6H6ETs2S2QBreV+l4YFpu6fzpzbobHw0mv9q
O+VlzJwjogXzcNiHj2RWWFHOziyUnj2NQwUGnY+2NkJxtOfpLs0m6njdEPh98VDWw4scJSL0+OnW
trNCvLgzCvtNTP7BbTr3aqveCxgf3vXWYW0ihg88tLUU7nECfujn61aZHwb1Ev5NoXrx2SuHsrU3
pnxv1xNjgXeSDkjZTF0bn6VkiTI3cjZe2ah2l9Cz8htQPomHs+LbEGhCcVgYnMq3r2Uab1otR9zy
7mlFv2nACsspfY8nOKZWgSQnf5HJ2Jimdc6i5iPWphcC3WRMtQv13jsWq52SXO1JDa3morqG5r0+
4xhwivjJxo78ACcP+G/thyHrdUkv9n0mwcUuREZPuyy1h7kqHyyRkwQpWQhXtRe3DMkasf2a+1Nn
FYDvENFq9/Aftv9YFEah46LH+cadDVbKkjZyo0NBb3mI5Yle4bGL4s3Azr5WxQzybJtoHRUkWnJI
Wsmfv3q3/mObWGMcktyt8a0X3mR0ngwskfQMVf7d0uS1Mp07l4ZaG8XOVphiXVtXVgND36zBaBHR
aZvmt24193bRXMnjXEL45sRDjYCVx4HJ8qZUUF1jeWYwOT4rQLtTwpOzCVlrVLMFxm/XzE8rgRhM
ROM+nvtXoOtrJ+/XJdTztvyck9I/Mgq/akPz0KcswmBs1PBGWDi20cbmrOlPbG3+HZvjOk0/gbDv
vYntyf2ry6qziTATNpRBRl0jdYKMYYZwHshuPIdV+DuPPkKbQjQphCSfj75mHv1S/NEB+wXs79rn
PuEPyliZhrnS1ldhAVCPu0e9157yvrzKlA6yW953LpQJVT6opXM2Druw9K+Ze61HdbRre10lDedV
/iZCXgRyqHKbZqO0Q2yHLy7b1lIz31sQp6BWwW3ZhUZLYgjSModfIHoWxcT06sTfbRn/irARSwVa
cZi7X+kw0jscmlUEw9hdZBG73vaFdwTjQbCGWvyU73y//KAO8BBJmtQaopKBakg2fmL4VYBxO8Je
XHj2WtXlvc5SydCscPZaWztNhbAfWSevbWyZHHIHGakrTyIBxIo7eSK+iextPObtBW/pAN8E35cD
qsnNP2oblrYA8OzYN5VfNdN+H6h8U035k7G0TIaIL5zZNJa5e3w348OJ9Tqox+rZIeeUduNRhTNh
/P5tolmH0/NIhpEkOZ3oLL0XnsUf1abYoR+TvKzQhFvCej4kdqKVv8KI9nj4Z9Ydj8MkyzaUniGa
lZt6ehMEq2OrfMB6u2Nx5XMYYo9l84eY7J3XFQQbMwSx5jHWeOVOGS1tdok7VdAnHIZZBtaaJD5n
5Gy7B17GMrpZhrtEr8nojxvukpDI6onTIOcEHuCRzB9Cq+UmFMl2GrjKTaHgWKKbWlUsTmTq9pp+
JmqGWZCdXGRpLbPv5jY82YojKmGovH1q+AQqnkJsHP/VdO0YpGO3t9lfpHfNYaB6yVj1lJYemykS
fZvN2Yau8yFJcK8r796T8QfVaAR5fZuQ94dZ7YFw7Emf0PVqUdv0gr0qpvYE3vOd5ydl5O6KBPSR
FvmB5rzg2oKO3dXf0GJGhFsYmun0HvudXMVNu6/GaiMBuw5o7Uhr0xYdwC6fDaCXlktK1Ev09jRz
QAlqMe4IDh10/0+fE1mEY7xuXOOlccydUu2ptJhtVA4ziwjplg7F9FiGxlVAMWcd8K7x+ZouFnyA
IftomyByeRSxl6wRgsY/4auYdyZr2o8ss30jBU+rWB143v1lU5+eAtcGmQD8YtvJYa2rp2yOWBsq
WOrJ8hPjrCmN9qhYI5mwV2Cp4a1HL980NT+kMdszsGQ2OByQtlgIuqP6vbJwqUGyIMxOzxR5VgLY
oFmVKLHyoJEjsrRhFZK/PfVlvDfGadWK68TBVbe+XaRDCDtb8p/mTrTuu+sfeS+vFxyRw9Zl1rvU
q5I+aSy4louJrE9qOxgSTRLtl7WBpl6RwJV4KrfVgc0gYqyNAeC7wm5HtInT0zjQV1KgffmjcB26
bLdX8cYrvuQiCI3PihXviGoeMpYXJDMbQjzBrnBn3oLYtbDMCAAGfcVEvCP3K0+6V92NbDdgkFj7
br5SMqERzJOhzu8xgNe1jXs01AsVvAjjF2Qac52ozP3Vjml39diLWPuPRW5PoNj75uT+Y2+hLuMv
oB9/ltWFpCL2Ik9P7FhkUapfvnq3Bj9SjjluMmxGtvNptFiXiCmN/2SCpL4WeZMW6wgrn2eMR/Rp
XdxoAVUlcj4417p4cduQMNBl063b0oMyYIALJXkxSFZ591md70QhWPWWtamNmLmQCgwGyOWnVYAl
mn9j78x6IzfSLv1XPsw9jWBwB+brCyVz076rVDeESgv3fQ3++nnIcrWr2na1ewwM5uJzAwbcklKZ
KSYj4j3nPGfGCXFSL2ADk9CEtauZnIm72GknZMUFg+CuRAT4EZAahnKpb+jWKocl3TNsUvA+DWeK
tfDBFpCEUOmWMoiYtqo7rJ2WtbPWvghDX7oj4rVHgrEMnRJEdkfYc03FKSXFulJBbiCveS/0iTtU
T5BanaRY+F+UU0Qa0Fi1VFjUM8Waa7FFngrj1syhU5xwihgv4H6oDzGNhj8EBiSEGVkD3GVzPmQ2
USXTSj5P0ikoIhHF3ehhcst4hGPXAC3CQef6xcxW3lJevq2mqdqBAWeXKWbMihBJlom+/dRYRO9r
uhyvdEsSqG/iYmtXmXYXTlb5rJlFfJmJikCMtDT9lPxPeTbambdPrLjawRmV14zaTGJudbw3ZMQJ
B4WE5BbZKJ8PDv3cdhxjJnW8YtgXMk8p6LVhms74cEwtwHyMUFTt4LkqX5vM9i3xavfGiPLmwE4J
K3qjO4yXrdI5beVc7iUT13048JLaxHOYko/SPfdEEMJ6rN0WT+DSp2r2ro+dyOREh6HgJldWcGeA
DjwtPeRnLE4YVgCAe48DctG+ozYAm/tI4nEUPC1zGgUFjA0A70aWYM0iXkA+J+WdnmJGpWXB2+f5
aJ1NbOjvepe31spLKnsoumbNidRWJ4ZxYnt9eVaXbXlG0TDYN496VC6B8qzlqe8NE/yzChVugBq9
z0ZMPK8XD2uRN8Fjk/IAgYb5Ks093NrS9LpNZFfTNVu9nAHrUN4xoM+YeTXVFWq3x2zbacHYOFzW
5TDlHyP0H9gG8PAOfFSCu6xZzkOEQk+pbizfa92bbrveGfbDsDxZxIt9bGEv5vp3/brgj+gNY7yQ
lvOtZWVyY3Ofu6aRsTzacC3OpJ2NvsE1dYLNjGEfcO/pmi3D8AprpoL6PCWf5yJW24CN53mDCf6O
BWV8lV7yEQrcNqE7AldV7rQfoL5uKouubJvWzSOgbahc/QromjMteFILuwvANT+ccEPdOx63vcI1
wOqRQGJqG6RNd9WuILCcwxKTx6iwo7MaaaO/G0RA65DFU0k5Hk0tImbXUUgVestv0ZWeE3uMwjfi
kOzBktaxx13fjIQRWL+wLhBW5JlJVc5fqFatoND2bQwhQC31snlUJV9Uju/v0pZe7rG3RGZNA6Io
R0FQkhhCo0uKNycj/MRVP6odx0JSW2VquJ8SywwfignU4Zk3FNNLPpDUPamGkbu3aeUMtnOnzxwc
C5OSJyHMog9swgwBZauolwI30l8zDJDPDX+Rt5kPwPgSZTUjafBAUNAD94ObvaSHqGUzMEZLosDI
s1Pu+PIaAgMt96Y+XWW9R2zSU8RPESUhJNXhAImTC/9yrLPhIil770rpY3lmtCZeDAYdpT9hW9nJ
vpuckyrO0UxxLrG9lGOJXS53LYCIkW4B0u5wEveJwdUA6xcvPt5ebubBZy9Jp2sVet5jxQNsvKIs
7xyrL/1y5g9rMXzft7IqTnPlZe8pcaEXRwjvUeun6bbodRYSyIe0jsWyei/0otpBG4z3ehckX3Jt
0p/MLHc4EOdWZJ0IPjrnNXwlqtRQf4DTc3DZuXanOt8kH3FF7AtRLg5m73qEdXqFdmBcqcQZb4hh
ECkLmHbluwFn2+1k2uxPE3IWfgwgUduGbs1VwbwMaktG5pa7JT6jglSmJloFvXpqu+ZSo7Mkp05Y
jg9YMFNeZhpG0AvBuMxUvrmAT30xjLCd28ka1WXsmYO2EZNE0Sdsp5XlciwFycsHiOO6UQjzAWYM
wxQM2h2qPk9AUrgqkQwso6unjVerpT7QcyJYrhFU9Dm30I+GXjMVPms3OiNVZF6E2qwDC3QjdhaL
KlKgONgxYG3iu58Cwj4bHK9wgQv8ajuSJeaLjRXf14MR8QaFljedkaB6zWRMXhllsVgtUveog+Gz
ciJ8VUk++cZUxXfUB0TXPT7xeDsjr9oXGcAwAjACAs9JFHt6cFUQ+n10+sboNlpvsaxO0yIJhoUq
P5d2wlPPOsANBzOfgckaKweiXcS5mcHVRUqFG2UAQXMfdqh45qRZd8T0aP6yiYZibbDQ+zL2//Yq
AnIAIkaIlcdyBVr4ohXGq2yoLwqikepsJtmHP3KKGTPuTh072KweSoS3VYQs58zaK7NHmXTF+DB6
2hkLeHnprAImM1KeOdYnRoqA3BaRM2zFp2aVPk1lIoOaiyLqdZO8UalIvsyrYDqt4qm16KjJKqma
pYa8agzBuHOFohmhRX39zuj8B0CAH3EAy2DXod0W7p3J5JkZ8r/iAP5du+3/+M//mv8chuyf+88v
S3b2DAr+a/NS/SATLJN/Wln54V+VAusXc+HbMhCz+IJwQRx+7bfS7V+YRaBFOHId+SMG/JNjaNKJ
5RiG5wgs6sL9QSiQv7joDhgWMVC6EjbufyIUIDr8q05gYfuVAkaYZCMsVs7hdxxDq7TYK82cOil9
8LzTYU2eRmsK1Q2TNn2I4cgn0KDqoAVxTt0MVmOLSCui94AbdlZj7BGMYH3/lPaQbh+CQde0DzCd
nHFjfKiYz0kCQ+daYrX6mrClfYi0ba3JVGBA0uRrvuZxKbZqz4c1pQvHIvAuVc2n/0ZAQlu4M0N0
46yBX+a87Wmnk2/z6XS0qCLxYuM1tcPShe+OuALRVhhWtUlFXU67bk0cO2v6OFyTyINMYghrSnWu
H2ATGHfzmmcuOxdTM5HA9GZaE8/umn6eaniONCwUghk6S4VLmIbdNL4eTAS4zK2ccm3cUuMhr+QS
uTY4MVyhEg3VXa/B6aBtxMs6SgbirtxHa5gbzj77TzZgjdp5kU3qG3MmCfBsTYNHYUufp4JnmZ2X
5miIHUNQguSRJTDkIcP08XH4ahRwI7fxGdc59dXYt02yp0qeEGRagzjwha4R9qGqA+f7lQNy6t3A
R5PqSOYRyiZ+ugrmotBLzn/x6n8Yced+pIKLBRQYh7ldvnomaoMKWT8clvt8qgjF7eJ1EUAga6ud
WJeIYV0uPPZ1ONpYQ+iNnXzVeBSZLysMVonqHloly45pVvPOzZ301VyXJbkuUc6yWmXLujWbVthv
tWVJc5fFrW0i1rmFLVAsxgvWv9qbU8yi+hxhhFqWyeVtqw/5sobStsVyaq9La7ous5wLk+6i1fQK
29mAC6yX8dxew7cyAzDOnAlo8JzEqG10+AlITVoNp1zONv5aYWkD635oDDE1k4QQ3G2IKEttJgD0
5hKrFTsHVek12wgWKItNBchaXjlL2nzBstokz7VhNvkhRxJnI8tWV98rrM+Q0LWYIigzc8t6583T
4lfqteoMYWMoP/Bhp3guySYNviDpLZYFrW73IrQw1rkJFaYmkMHx2FogEVGVNKfY4vjANZRTkpqf
lMG4uBvwBqitnVHteGCyJJDmacJ49LI0PZdhVNy59NfW8BymNtsUHt1FJzY1EvQ3uJ1ZvCvKNAlE
8xE8AMvhOOHocTZwNOEd9RWhO5T7XgtwkVtm5JvugGefT4gRbyn2bC7yeBqYwNgsoRe4I5zhLJhG
z7xrRYgd0myIMZ/WVjuY9yHYYuIqNq1TxkZ0AiQLpefxjXAm8YkIVm3uS4dd9kVfmT1jZKtuxRUw
wVwdc7dGuKwjJhvXuWk0GVnmkQuefzvBl9BqCKKbBPYJEmjNVWjpzpG6QQiCIB2zLwqZ41MnGyr1
4rC5ULKQvkajFTGPfuLuI/JD1vbdxs11WC+SKKayI8xkExFHqJam2M6a8wEI5hHvUFb7A7OmcNcT
OZUtz3rT5HyW7CV67gTtNahD83LIUc90gTF4ws5+YO+DNcgkuNqM7mtu5E98YEjw0thzV4TBVZiV
7ODMIGb4KPt6PsFvHp/ackZJI5hdksAZ8ACS5AiZBo+9qveJ7LW3mn/jWctbbt8QXGHhDbBEIoQH
31x6IALaKs69qPOroqCPp2sbWoUDxz7UU9O/KfTYT4WSnDJJDT578YAFrWQDK2pjvjSxNYyXnCSi
C/b5uADnUQS+pqKgOpusxDlEtWvcWpFW7ArPMOfTqU2HwPcabaaUoWaPS/YbN3oy6eBq2O5tZnrN
GA9X80eX6P0l8xeKVCPus8mxb9VFw4pCIlNLM4CjmYgOKqKsrID3dm3Qi0Cusw9OQ0oGYiKpW0uO
7MAJ5TSkOfLiGEXsfnEJM+ZahOu4rdC9uIcw6+5MxJUc63eZWdGBsw8ZdWsOGwBlZdlsNTHnZ5k3
mtQu6/NDxg19m8bMu7Q4ie+hV9sbI22DA7iWfj6UgPNwRBOI0evOvUAvH3blLEa/KzkhaVNknIQY
BP1h1IzDsu5uwqltafWtdX95Ax6wZw87LyyNjRYJtZlHFjOh9Iem8J5JYcM8KA3jKWQf/WVIKKrI
u2T4pDPov6q7/moaadmIEqsjpFxSmiX1F54rKZssC4rYF3WQPpFpIHiV9ozfhjqFJZgXeIvZqFxp
9Eoy53SsbWKBlz0pSHve8dlUG49F6EVvocwQ2PJZD5MbWiWwcZZlXG6KxKJIK0sCVLdJ5LvYNC+a
oDbPqZUv7gs+asiz9EkDdKRhvAzt6VYDgHdXQRtkPpqRa2mdS+Xk3b3NxntboL0eE+DqZ8AggrOs
noM3s6LdIpBThY7WP9AiI2/nooc7oeIS7+SIY2ZjGnSBO2FLZlZ0d0oTBaW38asHmuqRtuwvGJuu
DI15qJHFCBOW/Z6F+jmWTEiFATGgGgKBVWnjngP13aSP8TM0E+AnhZOc17HrnuaxXWzADwDX1JSJ
Xb+wTjVCsESd0vYt0vWAifCg7mZPpm+6UeFDw4enPKNnvsRnrxdd8GphYqZyRFqnYmwPdj6lt0xB
adTB7n3EbDUCDZqCq7EawiPbl/bFkdkBXG3lA8+o/RiUArmLjvEf4sSaebDlEyu/tcE/EZ6yXAxQ
1tLUp7BTbIoiqxcJNvjcdXV+IdmPnY5jH58zY8BaBdjdY5Cdk6lGCIlTtaeksxOSaHvg88LvsJ0V
H/pM1q6qC3rL56YhjGH26lPsKZS5mIQdJKDzKjTrfU7+MFEOolOVhkfOMeXeksO7y6AT31OQkZKg
ifG0TvgwjjNwIN0meTBOIMKabmqpTpkLyw9cqKTm3I7GJpxt4ZPY5kjdJCGDlAy8yhyZ6lwjlHfv
dl7i20POSpS0IC1teGG6n/ZhaoLAyJWxcTovuBkKrn2cJv2ecZ2lI3UIgDcOKICDxgbMD+Iwpmuu
mKzTmk4slvagfoUb4h17yghfx6KayIBAadpMnSvPqWuejgGbfXAvnNQ35mRhOcxjfXwaMggrfB4m
79j1VuWdqRlczhdjyPDiG2GW7TAPOATmczQJ00wp7mKbyEJIgdHIDpOSn5bkUiDa8XooTGvkI+p+
1Kkabmor/dzGmWjPAIe3J9gkA3UBWNpmb7JUrCAKI+wT997zvnfNA+G9kDJJ6tEB4kD5cpFzt16g
7EPL+PZuqrtgX6MGaRvA2x6DaO4wKV2lhZFzB6mqEwF56BBXrVSbOClSYEdhRDNNHtl3BP2wTofK
3rqwzJnWYoa9K0RXXY21N55jpBTJdtAnMKeZk4y0XddE3QO4lh92KOo9UxWKeBI5UDnqAanZsE6j
WCWEAMkgKtpuO7kh/JXsCDfx5VYfUpwmWqQ32Ep6XTtS2TmeFZZkgwN7N9+bHetZ2TXMC5nG5/dl
bObZprLTp9Qb2yNji9DPdRYcshqX7MD1e1MFxZeqDTu8tlzrkyuR4kl+q5vYSrNd1duPgR4UfleL
80aw80+HJqJ4wnIeqP76ks/GdIeOjX29ZzThxABQU6NiRc+luBxMN7oaLJnvm8GqfCXLBOO8y3pH
gQOMyXHe1R5HGy7H4D7UnSV0QdgoUuEnORafg0pk+3Rw46Nrts0zqO52M2t2dtqNSXjGhVadQQbQ
dx55u22Ug9gjG4+5oXDi7BgnLatMhU7esgEBfyWraucNznhHGCHakMOKvK2E/U5saSiy6wBq+2Ib
KdJ560ih8Pt4zszmSFVAYZiZPGmOSphtZR4BsDoXlE5W1flIUBE0SBXiFje6+W2OWrcCYItz4YRe
we46sE37DRUNiM+Q9BWkdjfB1ZDN4bgtwZ2eppkK4t0wNQEhBU2RLZoij2ovFrQmH7NmO4SK7VqJ
v803tcSmn6ue7QsspKR0OzNlwCkSEXyebMOxl5aOwN2TWo7EeeFUQ4vS2NFQqQbMGwiZ0xGEPiVi
8WyVV0OpDLlT1ax/sganJAPEdS5xsYZJeeDD6ta+3rhG6OOT6gnGCSmpylJV/gh3pLyfa6Q7Kte1
MNn3mcTSOlsUpu+hHjrlwVB13uy8NJiogap6HGVUGHobnMnL5dsxtoZhaFA4pxg9vsm8r/tLAGzw
cDw9ix9wqrfm2YxfzNs2/QRNpx0ZSBMMXpJR1UrciQOT3sNsJfGIuYIAeCIr3cQz0jMAO9RxXD6k
cd46i1wC4YfbLtTnIcR33zY5QeFshQLpKyAoQinu9zMbumV3tKCEhqYdpr2y+5FVRgziNhwHZuhu
moIiIu+qD1tJDoiQa06M80Tj4Nlu6MFlzxytWCPTdPTygGwmo6sSwo6EvbjAkIYVjBQI4IO0lAVx
vLVWhFKVTGOzpcUkRteAEgYpwiPVrvWNVd2wBWUs6LWUkS5pBPuZt3MBNlFbCPHRWElO1kp1yoeq
iQ4hmM/3SAnzjYptoziZR4UM0To6V+a0YqI8u+JeVXfwJn2HXiBE1IUsNa2UKQ1C38wwc/BsvzQs
7sFlFpgPsKOBVDkLr8rSy2KXxzNbAG/lWdmFZtxqfQ/lKluAV92CvjJp4GUuHM0gJ7muIvaJKzNL
izQiXSeeSaANOpReeRfDCuDiECOfbI8Elx99RXRFWZcfxYruSji8k4jn2EQN3wr5clLHxSpR07az
ddUCAtNXKFjV6qb+5X/Mwn/FLPzrOI+h2b+ZBWoLb/Z7v/BvP/nrINDFGGwwDmHa5xpCOMz7vg4C
JSQK6cGZdWHQwvCxGBF+NwlkAohcgoODFixmvd8Mw9L9BesxFmT2B85SrmX/J3NA2/yxIouxMhhb
/sfvEQwq+Y8f/cIzhIRMr3AsAXOU2rYtYzn5XUZGKYFGdwvYNWJjP0CKYWiUTzek84yr0Y05dxSa
dy1iDVmmrOqazB74cV+k4F13I7sHHQmjnm/mVdnB4Ed4Z3QQfACH6k+0f7N/KQP7FvKE9whsGf4O
FYG+nKKAxEpU6h9FM+hUAwD/YyxPsY9WGThwYtK1nZaYp61e01Bpx9ZL5UZ0Falp2FPNjq2k6WOS
lqawsAwl46dM1RInvjndwgFFciXZFV+SEFiiaHRabWx24FdG7Zmn1iK7sRHKTkN3iC/GTEOV6x0l
t0QA3A8bGN6zPurpjSb7YXyh2NF+m3tHPvewOa8J5rE0Nav+B2Sv/5BVjnUuWxXCcrBQC+tVOaQ9
esHSLYIi7Du0xXSRGRlJeZ+iVXvMOoM28IQj7yc7cwy1S9uwBgOGCFwce07ZPhw8nKnTqmv2poEw
saqd3hRT9uHGNnqXvgiiRrdoo5q96KQ5Kh6O1lU/DVYtNRzH8C0vEgPW/qq2OqvyylrQXmYN9i3U
8jgMtnE4Zf1daVlOdCYhjtMRCIn3CMxQ9kDrsumKYvCS0+XSAgWDToqTcYxxR8VrUVQ7EkE/cdcC
qZohbrMr12Kp2jJYaLjtk0/NYsvpN3Vb2w3GpaWUKo8EYSxGObl+3QZi8Ql9LbGCR0ZIqwgbjEt2
bSVvoV0N4gHpngleFi5lWOnc5w75zqUki4wNAR8jaaf+xJqWIq0oXMjuoRiBgrZNWNAq3ap0PtSi
GSnPXAu53KWbq69SFrtcAQc9czlMFNhhjeE6Xjq90mx5Ufa4VH2Na+1XszSAEakxAzxkMnpKPBnt
8YzUuLDLEKgdEbaGHI3KMCb2NJLdxe3gPvDDGEqijoIbDsqcKwBH4XJfexKrpTIxiCeGyxFTst28
dipSnEp6Sn7tWlxqF5le08DYpjkiFE+FZsaJkmW1nSOGeHvZDEQTbbYlnJqHpAq2IqqjaFOqpe2x
NvLyXAFixp3FhhLE4TTTfbI4a5Qfu0tnpADV8VlptOGcs/2QXENrwyQ7R9omzbV5Uq0tlIQfaKQU
TT2+9+Us26PUgaTxNCSYE+D9FW3Mvf3MtUO/JSo6dkTIS9Eh4Jxhb2H+Acdg+oljMcYsRSZ7bczM
WlVcElJ3631tVWVLY2iee5+nSTFOklRY4rkWVOhUDAxQB0vwzaB29Rl7MvTgS0SEcYt7GWNYJoPP
WO88ABrSIyDaAPe7F7M1fsBrKR8KyyT1esLgO+ovnbDxOs7r3fBsjNQn+D1HC/2oMy59IwnV8Auo
R3oOQzJwZrr3jIZF3cXUnmDh7J17LaIsWJ9DPy7d5JhzcnrVVH21mHiG4UuQZXeTVZ3LKjqnSe6g
dckeHNulRoY46548g1xrRvrKOs0H73zsOA5rlf5RhT3+QO4f9JNGrdjHU70zacs9ZNhNa7BzsC59
zW1vis5qMEawX3Ew91eqIFyb9JdZ7vIqAX2xZW+GBoacI/KNwl8UA7h4klPCj0OrBCL4msPNgPRj
Re3z1CeSQm5RX2STluLnxFtEdJLpn90DJBdz+tSWVgw/XNjbSA+pHrHoz9iLtr0PXOaLhPGycFc6
Xf/I3QIbQ25WmelrEoQtBmtpnoBHI9I9Kys574nidjuylbgCS4Pj+RWFrOZOCNg7xB/ZHhrRPQGF
fdi2+77VrpAxIKJjiNtkunPvNMEW+7fcloBTMe67Z+YI7A2fN9MO4lbjSSfsAUGn/TwOncXAKc+v
G016O+pibvsMTNzUNz3Ausy+DarqKgrd8xpdHuh2f9ImQXFm1RUn4KBkNzeJi8wCDGlGZejD5sQc
3Ohmfh50sTzRDawNfWmfM9Vwt3YSTxceFLlN2jtUceeMX88tfSRHyOUIRZK32+ugjQ9Qch57nbBc
y75ib7ryaGsYmzS+d0v9MMUtVWzMj5A4ofT13SPz6nzPCGO8t8dwpK5Z0qE9GOO5ETCZiYcUJlJq
YHIkdxcwNMOnBvnYgDprzudFGhfPg6WZu2kQ5lHzIuepcIG3znykgtA7lUa5oxoIyg3+b70J1G0j
MC1K7TYwuvfQmWvCIMp9QnDoDsOAXxhw09ucO+JQJwzlIzAk3HnH4hyTIzcirJkZwRWY1dDabKSm
xlbRliHeeM7fUO771BTgWkkDM5NjNbfM+WAsxfK62xxTo0wIChGnjuKhv2ltMtYKZkgbafquKMFc
W2GQbNmMMe9iUJFWXfoMmO7CsSZo5uENJhyxRyxxHyi/ifdT5rxj9Un3cZx+NLPzBT4YJNsIxaY0
b8x0JKtttKeUVzIfqWvPQtWE3SuDtN9HLeHpJoo+5Y53CfUxvLBcCzJczpV24NB1Tgh+MwzZpbTI
QCez7fiu1nmPiigY7SXXRp2eKsVJfea4xd+LRElpX84Je5ZUTWG95Fea/TTrYsdUdPBTkQYbpJPx
oAVa8wCI+hAZFZb3WWfWw+hgKLPoyyKP2rO9123U04blFk1C0TaZ2BnD9KZ7nAaZ7kzGv5fh5IbP
pnwfyyK7Txd200k4pdS6cei6Dtrc3up9jIjpiGtaS6edYLxH7h/cPADZXUpXO+FldoYEcXrG5j01
22CKj1o7aDedkZqfmUfSYUkoGsxDEOX0hxkkcQMG81YiP4rY6o+Njh1DIM5d4cJvL1nuKS5h7fCe
YV8DUIpIjlLCNtrHKp0NalqoCPU9TZpHt9Pl2dR3weM0xrAVc2buieFEF0PfsedpW/leEfMmA9Ae
uM8+u6CDnlI+NBj+YSMdWk5V27nsLd/lFEXnXTOH2wC0GdMEU9sjOfOk+9wXEzKDtMr0LqSX6tBY
ovVhzMB4IDtlLiJTsgpOaa2Y32bmIkQFoSRx3uCttP1slam6VbIC8FRfpSOMGvym2thtulXVGjyj
fOjnCeqSLm04k3BDEb4EWapPY5MU8c28KGPWKpJVXicToFJkrE/Rf1F1ClvVyRm+TUqdjVVba1ad
zcm4JXBN2U+e02QAkh0l5CZyac0mrxQ6TEVGNiwXAYov3rvZaS6EE8lXpFWwnMYq6rGfqY+SiPqw
UV2vfZlW7S9edcAhriu5JYNcWcQWFpXQWgRDnJuEmJ1FRsznIXfYg0Ws81uUvuqWqrXgwPEaU7+z
KpB9QFxrZEjN8EqrOSZYq2bp6kjkW3BVjPqCcl50zZh+cPIXi94JJQ9rwUAAPj1Wo8QumoaTB3fk
q1TaFuCgx1VCjVY5VaZujNfMNnAzNhpDH5SRQgHzaHP1GrqpTadX5sHa1zHi7s2+4HooE8+AdzEy
XT+pViV3WlXd//yIfRED1G3Lj+5/Ly6d17JSDUPVbk2C/vZf9yXzy/yn3/KnD/TD47b/WB+E2LT/
0r388B/b9XR807836va97TOew6/GoeVbf/dVHulr/nr56nVJDv++/L/7pp8/0H+9f3dqfy17uBo8
P6bzxfdnb7lUtfxwYF+f0vpqfvYI2UsXd/3b+3//L43jNRYbzutLswssQZwZ6xek9YtwHR1w5Fc+
5Xdvyp+97J+/om/v7s/evh+e88tbHlOXjhMxfv2DiYP7r23ef/LS/+Vhvn/p9i+6sCU2O2YYyz9E
i79/B9xfGETAK7G+OqT+/3sHeL5/5Y//5++AYfwi6J/nb4/VavmHV/r9O0BWG5O9wKP1/Uf8Z5f+
/9tr4HclvP/5NUDLrnRITxveH10D1B/xZWnyLvz1d+AvXCj/vI1sojh7W28g8Xv73V3o337Dtzf6
9w/w64dooa4u94cfvnFxBH596N/uL//44fpY737fffHb3XD9Pb/++K8v8Pe/+off9e1Vffs/D/F7
89K8YvZab22/Ps3Ll5zb0M9RBN/dCn94rt9d/j978O1L2/3EwrgwdP/mb7io+vwleynCl2+P9VsD
l8Ms8+8+/l+pk/6bL+GvGD3/5q84j/OqrMpvb8d3bxEj4r/7Fq3P/2fD6b/55PcvffdehN+e6G9P
flmH/u6T/wsdbj99+n/0gfznPub3H9NvS/Ef/diP96DlO16z95fmH/8HAAD//w==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14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regionMap" uniqueId="{934F9710-23CD-4720-A2B7-506C569DC9CB}">
          <cx:dataPt idx="0">
            <cx:spPr>
              <a:solidFill>
                <a:srgbClr val="E97132">
                  <a:lumMod val="75000"/>
                </a:srgbClr>
              </a:solidFill>
            </cx:spPr>
          </cx:dataPt>
          <cx:dataPt idx="1">
            <cx:spPr>
              <a:solidFill>
                <a:srgbClr val="E97132"/>
              </a:solidFill>
            </cx:spPr>
          </cx:dataPt>
          <cx:dataPt idx="2">
            <cx:spPr>
              <a:solidFill>
                <a:srgbClr val="E97132">
                  <a:lumMod val="60000"/>
                  <a:lumOff val="40000"/>
                </a:srgbClr>
              </a:solidFill>
            </cx:spPr>
          </cx:dataPt>
          <cx:dataId val="0"/>
          <cx:layoutPr>
            <cx:geography cultureLanguage="en-GB" cultureRegion="ZA" attribution="Powered by Bing">
              <cx:geoCache provider="{E9337A44-BEBE-4D9F-B70C-5C5E7DAFC167}">
                <cx:binary>1HrZct04lu2vOPzcdAIgCIAVlRXRIM+kWbJsS35ByLJMgiAIkgDB4et7K6dKZ2XljYp+uNFHD4pz
OGDaw1pr778/L397bl+exjeLbTv/t+flx7d1CP3ffvjBP9cv9sm/s/p5dN59C++enf3Bffumn19+
+Do+zbqrfiAI0x+e66cxvCxv//F3eFv14i7c81PQrrudXsb17sVPbfB/ce1PL715+mp1V2ofRv0c
8I9vP7348DJ2b4qn/uXtm5cu6LDer/3Lj2+/u/Ptmx/++L5/GftNC9ML01d4NknTd7CEDHEi8p8+
/O2b1nXVL9cJesdwRhBn8PvPg149WXjw99P5rzfv3RTqN//9Deb69Ot9fza5n6b29PXr+OI9rPCn
/3/9ru8WB7cWb988u6kLrxtbwR7/+Pb7sbV3xc/XC/e6wM///dOO/PD9yfzj73/4AfboD7/87vD+
uKH/r0v/cnaHpym8dNVf7cx/eGyEvcOIEUYIRj998PfHJt5hknGOsj8c2y8z+d+e2L95zR8O63D/
f+Gw/tKcfu9n3934n/oZEe/ynKXgSeT7k8reIcExJTn91Tx+drDvzfrfz+PPXer7p7+b+f8Jjzmf
n7apnd5cPYWn9teN+bOI8p/6jXjHCReCpPmf+U2KXi8TCiHv10F/Pg2Yz2eYT/LTfP633vOXL/uD
D11d/H/xoX8fDH/LJiUcze6nNPS7ePjXV38NpH949Lts9p2t/noIp68/viUo/53Tvb7iu4T0vcX/
7C+/Pfby5MOPb1PxDqE0TblgCCNOCRzyDGn1x7eYvaMMM5bnBAuevX3TuTHUkB4JgUDKCaT5LBVI
ZK9e6l+THVyj7F0ueJ5xsCSektfX/brAG9eulet+241fvr/pJnvjdBc8DJkhGL7/+cbXiWaM5kII
jATJUE5S9Lre/vnpDnDG6/3/RbXPRBYJkZphS8oKzYPMSOt5LykP0yNZKFtlTDrPL+oUbWYo0mHh
tVRV5vurFG+MXjA7DbYc+3FxRUrpmjRF2tbbFaXNJG7nIc2rXGZbqNSdoXSMF12D2mGXoj4fj5tl
zcFktKrOyNzj0ErcTXVeakbn+J5tiCgr165LfcETsk1lFYbVP7UY85nI1pIKi3JRSXXbTX5byiwf
V/YZeRP6vMhh1dXBNIvIMrkNal2u0zxdeie3jqq4m0drwoeZ94wXA6H5Uixi3dpr62w7Hkw3iOY9
Iklm7ojeevvFJ57fZlXH0G02MSrOmBv8UqaL411J8GLj3sZ+cMc2jlHcTyt3mS91FM6UeZy79out
Qt8cg8jnjZYkKGdPDdMxv4wujKRM48b5epmCxTRbGSxPUSaXdpurKyyGSegClufWxyzkyXY2L0Po
X1JR50MrQ3ReP7W1M0OZb3YenKQbzlUvs7Xz5GjqAZvbHtfN+LnOuPZXmiUikSnr5+Rk+7QR38Tk
w3TEk9v8y2o4dpVcUqMpkj7OaULKFgncVmXLQpcORT0uul7KwDa3HZsKjuTbglqWlbrbcLJXDjs4
tsFSmi4y4D6vrruZpoIVa9owBguMKllqKWCyGjZCt2p6vX9s/XU7RZdexbzLt4dkyoNOi2XR06JO
sWXYf6YL9uphI/UyfBzC7NwNH7rd3ObDYfP6Ps0zem7m1HysehNO1ZzPMhj+QFfWf8XOqKVIYnxA
oupLVdH6J8O9rY1xBWVLVdZunjdphyoZpa2qBTZiWdqbpnI8/ZRWVE2PAzHtfJ6RMcgMpXpGpdco
aaSYejqJkk+xy5bCt7m9bxfXNbKhjds3cdtuVRL6PRxqEmVSowVJnmRgxmlet9JnBqazYG2qItcN
exxUiptTnukx7wqbzxpdmcWM6GZOclWpohIsGUvEtGZG4p6u04VetUYHnZBl+8IoVkHtssVk5Mo0
uduuW9Ib8okrMT2adiW7gSZ6KlxYbXpweRv34GHqEW4lh6af0l4GSgZTDBX8XeZtPbIzhLXLC4TG
GO6SfjOslnWoSdtI5Aw4bjCOJg86rj5+WW2ez18F9bk4IWaT7Jj07awvh7V35NuIkHF7nExanbF5
aJpdjdZpktuSAsu5Hn3vwnFLvL2jKW1MEdZBYTC9waTFtvqmoJMf0Q5FTpeC8mhNMa2Je0xiPdRl
Y9K+kfUEoeOqV+AzmDNN5ZbDpspZJGIpc2PEkXdbxvc55cmOOjuwIufB5btKuKwg+dQOxTglzYVZ
UeMkNt6k52oLdjsG7GgtK+W6WqK+EmRHZmcfop1mL9cxN+dJOsYbt9qkLdOmYZPMetp62aZZ9zAR
u70oR9k5Znor4qTnr46IuKvczO5sLR42la13ymc0PWlYNJamVsl+Jt4crEnYTqEtkmIZIH7CRBIh
N47ciQ8aHzYX551mGmZmE+8fl3xhmdQ20c+VmpNPHY3VdYB3loZ5vWvXdL3LOtEeesTSw6Cm9aIj
rb2vGjvf+s6k5Exx/40hFkapdEf3Q7L1j/2Wuw8Nn8VaoIDJt0hw28sxY6lMVsHluGk+76wI+L5K
t03IrIvVNxRS/sBbwtpimWgo9Lqw3Rhs055NbOSF0iL7SNm8bIdN4UHWtl0aSRwxFyFaXpeRqOG6
zhO+Y7MSZofRqFrZ+XR5mcb4IYws1pLPsXugHRruIQKQUWKaqHFnbWJOkxD0q2hjfqU9rUqRdVWZ
dmS9bEevPs91veGL1oV5F6d2jFKQubnmQ8NvYZuXE7O5+ez7CdcSOzHto4BFya5CdCyrroq6WFBK
im7AuD/2hI2fZkj2VdkvhA0HHim9axPBICry+qFDPF5WUSQHpDC9Z7UfH0c0T3ssGNvPC9d3PU39
bmgXdIw8OVtFrWWd9vfILMPVTPNZXa8+McexWXGR9naOxTxm63lgEGzTPhw1CWSWSI3DcVo7dJbO
KPswYv2FDn13hpfqwtR5hmU7Z+Ej7nsKVo/oJafTtVlFe99v21auOI7FNG51uTgXiqjVRXCEFdkU
xlvAsu48316hQNoT+6iV52eEsORu9qspQ+fcNVKmLolJqsdcx/EwWB53A8qSb+1G0FLkQzO1sk8c
vV2QG8ypX90iVwq7UPglVvsENfqi3aZvlW6uc65P3TCoR4XJDZ+Nf0+HIdk1eqSfhkR3Rar7K96G
yxEP06mpe53IxFn0TZlo5TjW53T0qMADrT8mCSIyVL5cOktPeRUBLnh/NuQJkhZFCCwpRa4YlpHU
Mt9mdb/kLttD5vtKUqVjwbhbZW+nQ24ad97P3b7rxmYoo2+z/tST0bRy6FGUkw7XnafLOYAccYSA
ml/YrUkO1lbZR4BBCfs8uDFWXxe24lyithvuTIvSWvbtsJW5TrpOqkaFT412aXo2BrfcZ8J5W8ZE
TX1f8mrMgxQZgLWjrQCU3OENzfyxzXH8UgvL+tKv9XrUzdSVc2CoTHr8ra8mve4hyNkXAyn/Skzs
U+uS5tGONYRnN2yF5sgWk/LVcJ72UR9VyHEZkd6MXLIa4svUENlxNFy2S2KKjOl+z/MQ5LIu5sL2
q3gAz0jWXZOk2QEmPxHp6rbaO4CaH5c26uTU9q9Re8IVZ8WE9RT2fFzX56VOJivzqF24plQNh2rs
h+ds6cjO6XEtNjy3n6NqbFsExGKpWMzhjBOS7xvP/a5Zab9TfX9NmkZUOyq4KmjtqjIZ2nWVI6b2
QgUN86maULh5u8jUPFR723fdxaqyRebd2h0cia4vWMLxPsFz3CmTJEQCcm4HST3EU8nmat4vG5l2
PqbzRarEWPR66akcKzN/zRvTve+M7h6FyczDmkT6sKg63C155rCs+DbsI1rFJzH6cIzRdPtlcl83
y9FxaMa2rBokLnvc2UvHZr/nYmu/2pmkh8lQdKzNzOSQTyMEytRejxHVZcaaqfSV13dxpl3h6wTv
1WztB5KJ7SwjGf5U8/5Dq1ELEFmgg2u2+EKyoS+Wlr84sIZDzFtf5FmeyL7mlYwm3gFM8JBMNbXF
MORZwfwgbkin6lOz8epyzDmYrFgqyLVIXRrnX3SbNUkB9p+XGaXD3QinmZ55z2zpp8l+oqlNSteh
9hBdW3+ZAUke61WAw3mCzQefde2BettduXmin2fXtfe+sXSRwESWViZLwg9h6QGe8m6tr+k8TrLF
jXFS8ZCZogsmKwxwvg6w2RLnImvIt05n06ndAF9IvyC+m7klY2E0x5XMTIDkb+Z22pF+ZqfebAAa
urEDzJAQehpTOza7zgrs5VCNKjkTYmv6Qi1iOvigyAfb1CYH4+xD6UQ1KbkoQh8SMmbfMra2X8gw
zZc6D4AWNzp+XklHys165YqxQayRwXf9U0qEPcOd15JtalqKdaNoV6WqL4dkHOKtbXldlzPbKoB0
/qYlM72KdhkPGJl8Z1sb7jhId1cBYbBt362ZrFoXO0mVnuVEpmGT7dTpM0Y2NMoWjWCJ6cg7Xi6h
mczl0JCpmHrrC7zM3BRjEhMpamuykpK2LRWvtwv6qg1eOrDttuxWMsKSVkxSiYYUmCBY7HyVT9zc
L9uMVJmsterPl6zhx3oQ6d2QoPU4OEObszhqrsqQUf9h7hFQj7lZcLF6umbFxHFNpK8NXj5Nfr0c
SeeUxIlpawDaqD6udZfuAMJkN6mKyWGoKHvOyIxS2Ro33QgIwye6muZisVv1hXsr/KlCFeE749y4
m2m21tKsDIKW0Y4UOm8WI13Tjtt55jI9yNTruM/5ZB6TRgAIbNl4Xy0eXNEBbpQ1z9A3KoLdMaWa
UwJR7lM1ZfpLbLDeudDEB5D+u+uJQnzCbBwkSZmFUBXq5Hrapup6DhGpoieu/ajSZpQREsxajMNa
X1GTT7u64dmuyWonADyk6Eqnhl/ljs5PGCDlbh0YfY7OaVd0TYaUbBs1XrcQFE+jGuiFoKy770Te
PXJRAZzuabBOLn3o7/o+R/uha9vzFQX0mZnK77pGsRMKY9JLSD/qK+3DUGKr5vciHefbrZtyLdfV
z8PB1Y0oURbwwTD9nKOl+miia4o1SevLAEqEk6NVTbkOqb/DtNuOUY9TA+SeNxeDFuIseDcf+mSl
ckZddjYwsa1lhuinGmN1GkNc368qaV5YaNpizdPpfHBgihMK6jmrmJch8/UVs4u5wxAUIfHoaZY5
sKXbmuQtGNjin1ze57daIbUnS+53DItTxtB00TJbnXV5ZrAUsPyi69rhvaBWfQ5hsJekH4Fwz5O+
qK2GPJ7UZr3KwIoTkh1b1SkIIDptlkLbLP2cKWXPWeL7iyat8G5I3Xu/AWiRC8Zun6eNZnuI36uQ
Q7Pqw9wqfYarqS3wpLMREO3YfqSbn9Oi2iBB8651JbfACSF+W3ybV8R/6gbuWcHcOgOAnypDC6yq
DZ6YWX5bVcz1kGj7jcu0q4Fcg3oCoBoKHHIRiB0DoKZOBpLRvOTjEp+G0dGHafHzhx5vNivokmVk
Vw1YfMTdRiOY05KfwpT1+fm6Dbr5sjme58dmAIw/59akJ0rNsOwRcDx/AKj8tfWRlwr5+SZ2NJtl
HMQ3JJr46HWL/Pmyiam5djgDPUkA0EcytGsrm9F88dm4LPdNNOC4C9GdNMNcfcrVyo5+of49CB/q
MOiFJcVMKpSd0mwwvEBjtR7nZcyoRDbTSWFRmtuSVCvbiWYdu7Mko66T85DPF93UoWa3gQJnDuOW
pvtceVFqN2RfWYWGgzKumXdtDWi84ICmipmrpDRJi17YtoII4hDZLTm3c+FxNGYP9HSbd2DjmJ56
NsdQLoKsFyDshF4m1WDvHaTLtuiymFRyhSKZjKgfPiwj1UJ2oQPVK6+c5Fbb5yng7MzXMciJs/da
TbEcpzl5Rt7WwHtTkAK2dHlfN5peAEBNS9CneLFYgq6SRje3uN26A5nTVIqx45dTQpf3PHTmClYK
RCyx5pFBqPdlX61jMXprjaQ4NVerSOqdHbd+B3m1qaQQebXbsnW9HMLguMxBZlSFa7TeZ25s7phT
daF91+a7eqUEFUC52huWaOOLRbkMXWKuQBk02K4pgIEl5WfTVm/obmzzCLrbENb2HNSOSpRGk7op
9DJlkwQAkaTvx9676iZR/QS8DSxrtloSU1P2Qu02dV+myjbZ3mTjENoyiLHXcmTD5j5qAeHjOBlT
N5MUyizqIWSTGBFYIVPJgdhYT3nZA2+vDm3DTXbjgYzTk+KNCUUTZyAyIZ9zdV6TuG47gTSMWoeM
X2RLL77NTWjyz4vwKmslChCcds6nbLyIyvIbYA60+WDymQVJ10b7E3WiEft6ckpcKuC16jZTqXL7
FljDfNpmCJX7LRgYVVc2+9oBVx7KTTSNdBgys9RpZ5tYYA7MdpF9Q6u8XDOi8E5xDtdjCirUbW2b
vj02OCbTDsYOe8a3HO+qKYZzOtdB72cLaeZumHnc9toQqw4IvCm7jF6E7Xw0ZqXHzKi0PoI+ZPl5
6yieDumygSIpt2nD6i4RGQzuE5SIUsBCqwMohWs8Vbm34WZNgl1lKky9HhrBUbI3NersMXiSJDeN
7nN72AC/pJKtnrhjThemLlq0dACSgUahD6ClMwi7XTOlALcaOksDdcfkJt8WGHcLGwi1/+X5Kga0
cCWhbL1eJPPWATqmT3mN+zOPVL4Va51XWymUdxccq2UrbB1XsWcEuFWRzFDulFVm2Y1f7HyhJgYS
syKg/Q3gnsBO2uNG1YHNyQgAKbBWGr/ZQ0pzUgSTA+6wln2Bcnq1iyNSH0DGsJKgkZ8mUA9P1hB8
ztZtPKlJmVIRYPEmZsmuJuMzC0QXYpoeKpdPctRkuAT9ld9nVozXsQV4IaPicZYtULfrJXRfB7V8
WIQNMJZ4GFe7yGbLz3Tvz0gISkZmQLnPo9sB6mplrLtcDsgQuRnSFHUARatu60/jBogjNj2XzZD4
Yg7JuA90s7uhrupDvfjkyOMIVJgCBOtCLo2ZDz7lbBfEYIs+2+a9smiVOA/TDoRxfJP5QRWRVKnd
6djX6pT5OFRSE2RAVIEAvlKa70SH9ZNPa7HPFoiyxni85gWvY4out3FrjnXLz5Poq2OTOrujSb3u
B9LeeZE9adbyTloI8beVUPgQUWVObKb+VK89uQ+G9d9WweorD6RslBAI25t2E5C7hgziV++mSzxN
wyNFOBTIk/YEGB81sofhPs8UAW/KurS04FPnlR6Wb6LLnewyD47NtIkH1WP2pW7iRdyW9mMbQ/Up
9gkrgW3w51Q1/AuyGiRL2NgH7gF3RF/r9+taaYkXHK8wbtfdCCWiAvSybmfTCFJTjHkhkmrcIyfo
HvX1J+bytTkEPCAIYsMMyInk1V0ysf7omX6hpmMnPazXKQiK0kT+AXd1X2KTQKgeNAIhNEaZL+ob
jXNzwrUVX1wmmsKCOD4Q+3XtUwYaM+3Lbcs+TSxtJOYUl/UMaD0JgzqPfOxvuF2eANInRddGkDzA
8aTLTHWjxSpKhkGOLTmfbgGDfbHgtLJXOWSfpblpoXwjAaTMe7zV3cPmzNjtWorDrtf98N4EPXdS
N0t7t7n1Fk+bAtI2od2WzP3JTlVS0rZbpFMIl2urcdGl5n1T20SqIR/HUoHLHkzt+6do0N0W0rs1
rB9WY46sw1DtCO4h4aM7byw7aoyq42DArpp0fuzwsl3qaT1TS9x2LKVK0rqnB4W7cB6X0V3aTixn
OAO5ZwZcexpIArynrxeJdYYP+dZVV3oO+2oQ+GXIA8A5LsirBCxGyQY2nXg6PusRylcDiFxnfOBD
IRZ3dC3USUjI2z0aAG81ND8AbaSlN9VaRlbNBfHsAWJofJz6+Yy2UZ20GWORTg2Lu2mgHKoDjT+G
3J2tLUnKrO5bUBdt2oEIi7O5CCSm14JzQ8s6DZkFBkW7M2BuXV1i8Jf50Cqmz1Ol2FXKwGz7TS/H
PLVrucX2U48ayKmjwh9Qiy3U+lZbQnmpO+O1BZRix0wOWfdhrNhDNYJlGh2Wsk07CN8cf7JkowUc
1itjaxYvdbuCGqa90DtgsJ9wi58dq4fSWAYUjTJ7ACxgd1F32QXtpuRrrpZEYuJ00c/cFVvtPvQG
jnSZoNxVYNDx5NB6csZiI0BjGapPm2kB+y2T32ueQiXPNEOha2YfI9QPd2OyLmUVrSj6BoptQByb
7Db1fj4E/RrI06p/TQRr9RWIKGAN0mK5GIiNEAd7sGNX9WczaL9Sie5iMmr4iMceF7wC4bpRCzil
GLojx7qCHMGTZYeqjB2najoAm9FAi0OgJRQI13nXzfpismw6A3EQYng9FUvX+tu1abJzOMPuhW6N
AoGhA5KCdP2BTpO/mJvW3NcOwIZM2qWDpTUW6gsgDn9LAsBp5yf3gaxIlxM1AkQTKB2Vtq3nYkPp
BOvFyUwvxx5M9sRp9nkBDfmU5L2jBQidPuwWzhuZ190GwHAi7xkUD0uLly81SfKtnJJRNTsVZ52W
k0lQL0lHmTvMnKRnSzOGTwqU1HO3QrLUou5vobrdFSbRHCA6SGkF0nMu01onTyBgAIhOzAEoD74k
aWg/bKpZ9+nWgdEO+qtYs6oEUeoWd/ltSIyAcKQWVtDNbGUzbFWJKQIh29Bc0qYOUY6z6QCDDKRE
vXjWTUikhXKE2nnNhgrQ0mh6OdC2SQvS90GOawWCMMvqIoNKGqBaS64j1F5BAKJ+H/UEqtCSRhkc
Y1BlHvt5v24EYlDTkrjv13Xd16hFx44KqOTluH2Ztu6s4UsLyjtaz7XHyTXEa3ZYV0jNAFaTchQK
3TOaBsnXOV7+rsHgT0r20BfwXb0+I5zmKWWcUkQx5en39frBVnOSdiuThsQjMLS9WScMBd6Vy78e
CJoMfjeQwCJF0BWAMUaU5ZRw9v1Aas5mw5VtijHt6HBmmSbL+ZptGJV/PZD4fiBYBsMpxzRLMbSO
MfZ6/XcdCEqsc9PbTu9SqKbynYs8NBKqK+oxOsCOZQ6bugFMy+t7XLEsHv56ePy6Y//sgBCv45M8
T0lKeMZ4yl434nfjz4PIlWO53ukuoa1UIMNSmWloXKA1T7u9SHjeP0D/RBMv0dTiG7T1oDTQIVMl
FNST+qLKe5Rf4jD5DFoJoVfyl06XX477546NZ9evo67qX9o2f/v6j3sHtND+9Mw/f3zt+vznt8tf
20X/8q7Di3ttLPJ/vOl1Nr+9Cybzy+xeu12++/IvjTe/dp78obXm5+7Tf3Pxu76b7/qOft93Aw2G
RPzUFPNbZ+m/NN9c9pN9ap+66rfuz9eOln8++Uv/DXkH7TccQ49LDmIYcPlf+2+gO44wmkH/CwVn
zDIKbYu/teCk7wRoIDlQWQ6mKejvWnAIf0dz/lMrF1wGf0z/kxaclMMwv7O/jP0PO2e2HTeOdOsX
OqxFEAQB3pI5KlOSJXmSb7BsywY4gwMIgk9/NtPV1VVdf5/z931fepBEMUlExN7fDhYSjreMJWkk
eCJCUJV/fv5K1sRpub2/3SpGzASuN1C0bBMlV+VkX+yGhsHIwd1qMAwtLXgFogWD/jXPpbpLxlIV
50oAXtnBMI8/z5r5NYc50U4ZWBPtLyB4MP87RtrcUIkSOBtrYDV67r/0FDX/uhYJhN8G1/0WxGNM
72VbG+AIUZu8QrWHj1qP0NhPdSWKY59cBhv69mnweiCfirKs1TXqu+Tt36MOLeknmGLv0oL7q43f
xfqtRSuBxuALZzzntFq+sMLHBwciYtbwFqFI9VCubkCEZ1BsRB1kKhXNz19khLUd+qLampdfeEQ7
xKN94FBZgtNc0kXuaO1m6A1snsPD1GrS7ocaSuquNBWbd2j4Me5CW27Ywy+AIoG+9TgWy94pyuCw
zTr9Imklp/MaVOEP1cM02Xci5Ov3Rlut7srBFinP//9gRQnk4Dryis95Gsn4cEMsVlzq3aIbiHQb
ZzFM1txBVTvH1UuAQXiE8wNLx+9/oRdDtDZit0Y9G2DnYsKGppXaMPszhqHFZJeTDEsz3f3OYrQD
cY/Mx6R6+AVkQErQ5hWwg94rpz4Xeu50VnZtq89d38Fv3BTjorewGJXnKlcyjden0Rf6SUUiKXIZ
qxiMB1vNfdL4Yjm6Lu74Dg5QJ/edKeJhL5lw9rwscf0JTFV9ifiohyxwun4rnKvjLI2lhEbcB27H
GvwGWa1gT7pep8Ox7OJo89VagDiiMmCZDMcwCCGd4PlPQcFUqOqC0JwYNX1sZ2AfWUpNAJllmflT
gXFvyeuymD6GUddBXR5tujw6FmqTVVRBXlsIdO+s9l2fZhBQxIUvgw53Hr35y7BM0/eig/mWg1cK
fngj2qPvo/C9H/Wa7nFvQ52T1Oghx4Dbe0h/Rd/ueh+gWYaZG30Pq2oSsEs8lNdq7VsF28aOPFNg
FeAgpsvoM0Wqfoa3690PsU7+ZQBaR9HNa1bgHLDJD/j7vMghfAqX26411T3tW/m2tIuv8sSrMdl1
FTTVvEN1fPMY41UOABGyeBxy8SZx82F7qaWW0MRLGN9JbM1ZQYjy20HTF5eespqd8Ct04zmhrlzP
EZ/Qd6HTScusItMa4DDyG3wXQbjO08brO7yTJr1LjGGfmxawRIcZYBUfPKF1ebDoF/s8nCNoE8p0
qcijpV0niK0FLDUVDZbcO7vS9ujaaCTg5VQFMU+q9GeUsr4/qIg6epfgVrY57GvIt1WQDvOlaYhc
T2rCbxo3uKH7ouFlkbGyL9asRH8ClSse1yJ3ljUYithCgTIasHW4pQW1GcQsfHvXgmra1FAJrqcb
huGMbxP4LAStEeeyLyUYKDbDzGN4LX9KVUF7a+C+/Qx9EUagipQ61IFWX4FhhG+OmqHEGK/Llwa6
ZftOkwjXkNC1uKZ91YyQWMgy74o1xe/TQ8sfd2AtUvB8TTCQjBcMJ4BdAbqdcR4v39d+ZRFQpWII
c8EXaMZx2Bf8LDG3fFt1kNaZDlTNdgboTZWtccHvQGUMQ+ZrVnSHmLVAncAvUnWJtI2+QqrGuwQF
X35N4JkFp4UVMQzMkk+XqYPZrma8MzsdyTVLxGgxYTtIVQeQWGy8kL4pKcZBXqh9FUPyy0YRBksG
zqVP4edQCE54TMlboebhR6gacGJu4BKqdzX78FAS04iPazroBm6mTyAW9PWbgNeiIVQ1ncvw2kHt
dEC/xH3Ie7wXenHJ0zwFqtmXyq2XWKRLlQe1xRzSsK65C+1Y2w8ipKG+N/DN4ahyq99XiVrKQ9zh
vdoXgAXTXV8FVZFrIHgHHuNQx/jajeiao/6j4T10Gdn1Z6fTn4JUGKRV2Xbf2NQ7QC6GmBdYgpgF
U+Z/Ui/L+1Ktq85w6MfPZVckPMMbSI7B7MmCJrAsg4cEw8xHl0iAI5CjMMhi8J/4fceVT/c0knIf
w5zB62nckmSliiFE69LocB+RJFhxeG1z81poO+8hgEGaMfWaDBdfTfwD2oYGDvFYxadyUMXAM+3k
POfj5MAx4nyA1jmDmBG/evP/9p//I9b/T4D79y4So8i/7z+vBfoh0/0PbSu+7Pfmk/zGE/AEgsLo
5jzF6PGL/UaUhiZpyKD4oZEUXKAr/aP3/IV/42/DlJOEp2gY/4F/R+w3Gm6RqTgBFh5R8R/1nin9
6+yz9Z6cowdm2wTGmfjXaXLSooYN6EKovDUgnkY4QXJSyga9khtxdI9EKHnqgiJ8Tij0aACx6TDm
MVG0fYy3oy8GGVLutCzJW7MdjfN2SFap2M7LqEl/NhicMM9tB2oXFdGYNbPAOVt5iK251THOX+XY
OJz57Vx2vsM73ZBm6A8R3kELYms7x9PbmT7fznfPy7DIWzWx6UB6iRqQAK8qsrjtO7UH6Li+yUGr
8FTeqgewHGiZm3vS5gHZKgy5VRuYpelPcqtB6OomsosnHrfHgGx1Skl8z1yGyVa/llKKPOx76AKN
FKhxCeNNeWBb6bMm7VEG+5Kyz+5WHeVWKDFpomaKugqarLzVUnqrq7IZ63XHbvW2mmMzns2tDre3
muw8RX32aWTO9la1o75tJCTdrZrH5ZC+oaxUdZ6U0ajydiv97a0LYLeOoCYdXMoyieTbdOsZyK1/
4Ldeot3aikYtcZGNt25DTNq/rFsL4prFzFl760wCtXUp7NaxjAss8SyyAtNJKLtR5IFBg4P2E38N
dhB9jzQSPRCbimLIQd4SgMu3PinhBXmfDGV3tFsb1aMnAnqyNVcJG9IXceu4EjuJS/OrD7v1ZCFs
1W7zkguoOHYIlsfKMfRwzdbOlbfOjm1Nnrz1e92t94u2NhBGOjpCeesOldk6xf7WNY6wAvqdHQlg
Js9HOoGbMXI4Qkbhr8mt96ziUTpYPlQey1t3qhY0qtIkCnWVzGAhtkY26gdvz+2tv4XAZeTeEWo4
+tetB65oau4bZCXKLIDchikON/epq4MEqDcD+QMojaXu9At+XkCLqCNGKKezXwj0HANyasGYg8ga
EIxIEk3RnACYKOtW5HXg5mL3i4qOmoS9aI2GaOfqNbg4xqA3qr7U0RfaAIRGbUjWvr7HQ44IQ9R0
PYa3iGdt3TZ7SM/PzTo/KFP0eznSGGrusD4TOmB4TMhejKnK8TqWKK4N2CAPBXsElTnnjBa7G23d
8b5+jJk5+s4th6Ic3pxg9ErA5PHev8e0aONjM4ziPk5Q1rvyp0WF3VckLvJ68dDXynBHyBQcwsbC
617UV3j7KRwkAuWvokGmY/FCV+EOUS8yzG3BpVbVkfbF8Kky7ZzkhpRaZKCmiv0iQCYrSNRpqJLX
JVR1tnTrmqsGLE4aBnDIaAAwQjefDcggEbCPaafsuy5IH2TDDqYD3w+Zrjn1oNfz3i8/QhnYrJjZ
Q+xGDIrgrMzPGxfuLcUMOhiMYEXB5J2nidjoexDiJjb1zjlNHmzjkQGpB/VKiqQ7G1l2edRamYuV
2muKqIbPUlmEX33ZfS1mt8JhCMLhpR0tbA3RwD9o4+jik+AVCQk0KsmsgKI1HMCkUhiDOH8uzdr7
DFB9mfWzUXc6rn6ECTI2ikzhW9AX1aWw5fIu7MNxj+mfCRB0ABSDGk9ckS4PfV0ue9HDPDI4r488
bfBGopeN6P2K5MjLhA58J6spfWiXADjdEj0rGX9YTfUhkQoG4oapw7p1e4VIXSZintxtrDqiPPcU
gnO+lJxmYxe91Ou4xyEIHw0uVjYJ8xHk6AQAbawk7Ef0MK7qrm2oDriFYAPh5WsGmzmq6SEy/nPD
+4/dBJk3wn2raPvQcBw3eDQZB+MheXyfjLIEmkT3Qw/Fo3Br+gDZgr9hAoEt72fMRRLkM6HqIMoi
D9N13updd6cViXaRH54Vn16GyrX5jZenojGXsbSwIrZ2Oqmq/ijm+eCU/5yyKMkMYcNdXzvwIFZc
bd8+I+d9qJp2zk1PNNIz+iFt4lcj2wi1Q6bZzOVXvF13KHnvuYgdkhYrxlA3y5wyMKOs7161hTWn
lne9Dg82JWcz6qdxTQ9wBEHpUEfAZsKY0WS+6DI9jmob5Ah+9bhyalfRsLobhD+UDXyyeZH3PcUg
n5Tk2rQkguUM+obGKtotajyDKmzuy9Ct51UJaBq9+RwQEp/adu2eomZ42yj/YYjcM9pqilzHchUp
fQqq0WVqaOg1IHGMQSX6QBQ665nSE+RVCXaJ1ad5YfYAjy96ahroHVTD8O7E3dgs/tgLkI2JodPd
CiJ653ocmL1dz0hunXXirgPDx97P4m2JRX9BAONVTRpWtR0cfDz7OCPh8gEQMh45BLEm0Ev9TwEn
/sMw4p3fvMzLIskJJfIifYishE4BUUqxHCoxHn2o6En6/rsWYT4YupeBp+lumgv9eIscEFc15wDq
S67q6j7obVSCWBvPaz38FCsupFhD8cJGjzCQoQ99IE+/pxLq8dNU8Ie2icaNw/kSs8oCLG+mS4mE
zLlpbmA0HG34qA/4uB0grbABK235YR66atoQQ7L7FWEYlsZ+qZw9lSU5ImFwWC18BBMF7T5ckgPa
JZbx1p1WXMgpQNu0b4iIHv4WcIjCLt5vAOOPW8ohsWGcN806gENXoIA0Zucg8cdb3CF1ZIyuw8T3
cm3fgWMBw1+8/Uo+TA5PAkJbz7THOYbz6ITnI9whhwQHDCmB3Z+yEHwc90Doo72s7fiQksTsrYsB
IZmlNadwVKA+NKX+HukO/kTh91xvOYlIejSJeKajWM3fWb0UeQck9nVdAZRxUH57/B47fHAYndJv
JDTdw688RSVViRtX99F1GtomX1y76/x6Bqp1CYr6gDv//Ra0ABpWHSAYApBQ5V1bJMsO5vgnF0Qf
bsmLEWThAf88n1u5DIcARsTxlsGYa3Kl3BwjQq+07SAGPMqlr/cg1+07W79OdMl5q+xOgrveLyXe
y2k9/5HSqNIxA310V6NnHdrntIiPUQt2YuTtOQ3cHoIOOIKBKqACAynBVnsM5kiNfpm14U+VoAbA
7fg4ouMmfR9mlFGOqqPrb64PAKDKITmudZjiQHmbkOnAIzK293r8HrrwqIw/ezXshpq8iG696gVh
oS6AGtVvebqmOIhBxNcSof9f4ZBFwR2sW18AGTdoD/XFxADymab+XVquX3FN4G9tFroO/hj/iZZ8
3494hU2yA/ZyqAf43gbcL+j56WAaCvCpn5IcmdG9lixrWg5yjU72eAuZ3EIZflTfE8zbOEufWkQO
t9AJDWAmQ4DfGztfBFHfhhYKWTC7a22q1yEqHut5frZl92G1LHOx/LqG+grb6g2a0UMHvyqTnT9G
ZfrmAqRDInu3FICThEM8ZVmefDfnwdD53VJPx9oJMPuIDWYyrct3VYxcDo/9Ow9BspmrSz8nkKXj
8RqkZQ6CoMpvuRa45KeqH1l2y7bgxUCqa03QyxhafCxYbfZ8TMET2yi8OC2B6iKQ9elXyCWYuDkY
swBOXCmSJVU3q89TE6YnUPZAABiHv8wGJnaN7Oejq1i7n2VanlrDJ8CbywESyoXLO0jwEmndtNnK
/xcJvpWu+wmgvU/XR19rSJZNVpt3nejzalwgdnt+diM/gF35+C+pGU3QeE8lOyHX8ARDEz6uf9Rz
dbe6Cg+sXo9BXRdPGG2QNh2+VOqrHOO7rU+dFdJvwaZaeHWmbfnGpp+NM3lAXXK10/uV1TtdJuA9
uich50ceQ1gEDoaMYnjxIEVBs4dLc4KDexQO0Y8J4yEDHAymLSs1QBETZZEXp3paskBqCJpRla8T
YG3YJVXycxY231h0Z8vDPC7QqhzyiieDI0GUD7dUj0yXF5mGANrercj2VNvMOJN71k556mpYf7D/
muGVpdOhFRVyDbaAy5+Nq++yqX8Z0GA5OAMMFb0EZhjhGPZjm3sLt3fOa85y1E8EWqK8xAWsHZlz
SKEnS6IDJ+MDwqCPkbjHUZWVc3GponNJ3xLf3UJEizXr/cg+Sj2gC0WEUTeb231fMtwiEeyodfpI
afBeJnSHb0QH9WEJkT1w2eq/Wb0m+wqwapAY2NQ/m/S8wCNH+47PQ2Zj6McD4D8NOQ8QetUbAEpb
LAlRoP5jCQQi7/8RTcJ5+krxQ1NVvplGnYbxG4xosAXvE7CN+3Hrpo2nh7EQY5YMzUHz5rEAVHEy
/UpfGKNV90GzEvd2aSrEnidpYsRR2r5O0C02+oR3oET6cRJuONbEJq+aA2AKgOuvSE6EZbxvQg22
KwyY+7EKWtD9UgtQ57SMMbzTtkqWzxravgUyB3AEwI3vybWq6PJFQ9nmuNgJL7ZPWhjHRRvqedeP
FmRP0Tr0mt5suAVXhc77ou3lHiwFZHcyzJxjwLVJiF++Bc1JYUuQ44i4KxyqksBVG4AiP5GBre1l
rJUcshDADTbqgNI9QOzAp961U/8ZZrdMABiVCUBdyTCR+208jms8NYkR4kPUtUD+I28YKKhIRyeA
qT14gynGTf2vhfzvFxH9q4Qnwv+XhPf7Spm/S3jbl/2S8KL0N5LCO0ankkCRQ4L9Dw2P/0YQnU5T
EeE/EJZgtcIfGh42rAAqwKoGnkYpvhAYxx8aHlY4hCkLQ4IVDzyENPif+MdYFfEX/xigxrYpAjoe
WA1Ko4T8i38MRI+s0hk4na0X1xqK/GMU+SoLw5ldI0nr/Ry3w3WZxw5Bnao4zj4R16oD/dWEzfTB
GCRofBWBKUvKFEQ0JOuo2odB5cuD38T1/qazj80c6fuQha39UG9SfGkVMVnXEzhSQcPWi73p9lMl
kqdKSqj5ccmcuPc3lT+5Kf5i7KH+24FXb+NmCYQ3d6C6OQX+5hosNweB3NyExMvhh7ALeYMnDbdh
CKAd3Y8CrDFAus2RsDd3Irw5FRFZ+Hix3AfVAe/1POwmU4QYWCI/Q93og/PaVvZSLxQeiPe2Dk5K
VcHXSrQUoB1u9FfRNkxdsJkBg1/BU6T1w5u/Em5WCw4LuC7FzYEJb24MgL3hmyq44mdwQKPJipt3
wwIY9Dhpq/Y1QnZ0Po/x3N0h0REdSUTaE/Jj6d6LtjiG0ygB+pYc3VbdJT8c12aEEGeXZ4it4bc0
VfhYhO7kR6ADOosNT1cgeZt95GMstci88Bg54OJD3GwtdTMCxgvaEN/3xZXdJNt2U2+Fn4P0NN5E
3egm8KIscZKHKsSz0t8OnuR2CEHnAnIXISWj81nO+ohyoT+5TkTyMAI5OEMOgwTA4bV1WVguOIB1
2+lXdPXzO4HQT3uFGMz6SzThmYPLRVFSQfJaaEWg0kEZNOV6QuqvDg8OwjTLC+Vw9Qk+ojWPUTqB
6wfz1OZOpWgSED+sOQS7GfnnCF0vWLhKT+EHP4dR+QbsCvojnpEE8+04WBjnUTBBGagF0GQ7Ikaf
dTUvykNiAbcedOPRKDSiAeRT0Hhp9y1ES5obadLhwKXskGyzt19Kc7h5sXQOJ7XkJITT1NRvqww6
huRc4h6R3opwraDwzgPxJT1GgkyPCcK6RY7k1dTt2gmkp6yDqDtOrHbfl9EUHwJdF4egmgPzfsKa
lO+KzBo9r4skqmRXHFEkm5wJGhRIfkzmNUh7yJnV6rKoqf0uxsefwwSin2AIhd+Kdel2EP+684wt
JEguD8XRLH2hs3Xoiof/FpP/fTHZGLh/7wf9ZcPS30vK9sV/IEkiJXxb7QPmbKOL/igp2BQlEoq6
gaDNxirhX/4oKclvIJJgGQkB+XfbGvTPkkLJbygAiN/iP6BMpTH7T0pK8jdbaFsKRHmEK+ApOMNk
gxD/hMThGG9pJ0yF90qsRYYuGwSpIOYrqbr0O69UBwpYqCRvZydt1vplmR9FqTA0TghZkbvBBkVx
MnRV/bFoK07B1AQ46XqJxSN7Vrf2q7JMtzsSyQJIfmEI0Pi0E3TPO6PLg0MA1w8gy5Uq90QnPYLZ
DNMwlgcZ/FiVuu6YkBEaIwihXEdEXtIUgN68huzSCpCfpGE4g7AKgAzn1ZSa71xZIHIZzpaQHbaj
IFNC0NPtkIyv0AlSuCHosmf/Ee6Gzbp4JOuRiUXsNbZR4AgwKBJLNNkJTR+IiB2dkLKjkG67U2uZ
co8IwMzhPeLRajxhHG9JPpfLaUlrf9cmEgoBsk865gcRdazHD2i65y6ZcFeiLjY/FgQJ8wmbbz4G
OgXcJRyWWWgD3gnOHavuY1WydlevnUBLmgTmR8EHQrIOO6LIuWcAdHBu8WA+skC4TNSawKSGiokA
BEEQrrqLl6pZYUK79Q6OfsTPwGinN1XyjuwjI3n4tEy0UDsQEanPa6YqmzmDQEEdpOQdEjH9claK
IxHiEAt74jaQ74nW36ua9MlOKW0/Bl2LdHJo+2rHwdZUi0++Yrq1bie4Qhq8MhbDjdvIrWQwUpyJ
LfEZCl/PyymI1JprVstProVgeAZrvLgDjC/RXFSs9sQ2IKyxDoJV3WsHDZdzd8eGNr7wpsvTMs06
4fXzzFLkuTFglKl6P6cA7eMRe5Sgg3aOnTDH/5C4yMVYDgm5R/wTptCJQ0RnrEnfxat6VHGLGHMM
amRbCzQOCSw1BEmOXbB+1kPzgBUfGMXm5j0ii+G+srFEIhsmVUr5fRA/DgVyQ0tMzRfZ1XcyQNkm
VXkZas+RuquxmydBNDi6g5f0yFedyrMcsEAGXQuu68+LhfgQf51mDJWjHIIEaPRsquMiTPNoEYKH
BGq882NmrOqWU8+6bdvJytirjHDPdgNZoeZbxaq38Eb3DTfSj3hAf+7G/8HxAgsIsxJcIMLo/F7f
aMHoRg66G0XoN6CwqilU0iIgiPb3Mzzeu+jGH3Y3FhFYG9y28cYoIhwLXrFBfjm5ChWilMboRYoc
nZQt7upIFz/6vnT0WFjdhy/dICM4MMuCREUFOARP7TrxzLJ2WPZlOSEXW+GA2lUmHIJdEQvk//3Y
4HG1ZikyKjUC2mVgjd2JqTD2iCRm/Bhjt9AD+LbIHcZOtwQ2mdLuWK1T0ex6J128S2iEiEc41PjX
sErIssf2sWjZo7kicJy8az+mZVRAd0g/z9XansyUfPDhu2ad9sjcPo+uuxOufE9rfoYG1N4xUV/d
EpwsktSRbK+iiZ+3zIQFlYY4/gO0pYfOxnuu02UXd82uCyKsVltBGT6amn7EOVvkNikPo12wKAfR
rWGxe9FNmEsH+6RhdUy4y/GEjDFNYNB99Z0a5w3+ytBZmR0o8DyQ/WWLW9hWPptFYseSvS+hQfmF
7V2LjEUN/54m+kCSts8Q4vreLz3CPlhC4+1yraIOmxzS4bo28oeWP7oA0vk8iWPdxndqaj87POMz
NigwCeG9Yg8hVgNlJR9/jIW974GzkcjvFPsZcPXQGwKjP8lADuwNwwoVE+KYw0+V9fct4YFPehcU
uJyxfBC8eEQC9g7w1ItLn9jwBkUeewMS8Dt2Tj9FbJp2WCSBVwChfTCgExatqMdo6p5NAFKKwhXR
LjlCpjyXtjkIKxF7wY03+oTWK9MRNs1IwFl7Ww1fO2MU1hjwlzqNQWOuX/qhiqFE9VdSDodblqS2
w/MUzMseOhKWnkRx7rCpBGhqgcDMgmGCRVNg8sKadwW2MtUSedkpqF/t2DeHAVmbHWcaW2Jas2NB
Gz03Cel++tZuaaO8br7XSR3nQxpiqRWmqNpDbcJsQ4MP1OovMRI+8+B3fOZ7TvF6aOyAafzDr4gK
QTwIi3nmH8h6gpENuvfG2OUWVYF8IjAhQX7t1gF5aQEro4TYDkb4FmBRk70rffWp4/7qdPTZBf0j
8pt639GpyPpxflZzhMe5Xh/aWax7uE3vV/eMzSi7KR5eRfxoi2AXjcOJJctxBRIAFxELE0rsb+vA
or5QasRnySxOTlFE66e0EYctATOm7oIzM+dQdr1aTs3aNlmSRE9bKmYKJgelhJ0tPmp8luAcxhhb
bhhQE6Mf0YiIs+PfvKzzMP5Ik/oyrBNo4zAv3TRB15uOfq2wI4ixD3WDBXozp8hOghN+7HA4Yn0c
vDiIMV3Yvsd2A+xqAj1h2qdV+mjHsckJSmN1nqP52vv1KMoetuOArQRYXzUt31zD2guYa1QtXXzE
QpENcMNDb4o9fKEmgzn1E4vujoAd67wEzAbvGrsDQ4f+/31Ei2xyP/6Z18FmPqR3iiPS6LsBGdSM
JcmJtfFVx8U9TCCRYdPIrobsdUeSEXquX19uwR4rvqLmzldRM3LsnCg/JpMKphze0LgfMEx/SqiQ
dMubkQ92sPMn4xBzwwY2+JP1bPcrl18SiaBI62Gy6xGshI0mgSz3sI1eU1yvyPmoqvqCCo4gYUkQ
oYFMCVq4h4SeqHa3uoaocytiSOKtToLqU+Bxq3cWXa7NekyHRzDhgc6g7iEPnmIh6nTkbqzvYcuS
9RIhSFq8OutrsOxYYWYP41JGkH+te67YOKzg3IXUGVYK6R+eOrFLsZPknW/r8hrbwl7bMWGZmdxZ
ONJdowk4dOrA6DRC8YMF5XQqVFpfgMTxd0VYYNwMoJtDwun3C3Y+njRf6FOJFPAHJaPSZNi/k+Sd
7ubHqTf9/VIQvtt2nD15r9UzGfxwr6biHRnb6Dq6QTzDhHuPirEA+A5khro/wzqrz9goMh4MZ/DB
vVn81ykcJkytIdjHvlf8JVg7e5mhapyRECmztljkhXS8AzJMp0NcIbmZEcLI16VNYcn9H67YukK8
KXIVTgPUTRC2+slOUYpxFiuSDkCLDPJQIZlxnvYhePcQ1aD+WIWtFmi3x30BXJHve4T1wR5bHYE+
bUMfZoJ2/YjVGtG6w0a1JTqIdYasUtJRvweIDeq8bgEmXo2UrNohETWr9xXqX3Uq0JRPD1ihUfI8
HtalAaTTcg9jSzThNZqx1ei/uuUvcfJ/hR4KqHj/ftT89OPve9n/GX7ZvvZ38TL+jQgWpRg304Rz
Tv+YNAnHNEl5KhIMD4jHhH8CELGQGGYuJsyEJ4zQZNse/Q/xksa/CRrhO24LjX9NqP8I+vwlzYSN
9L//+c/7ZwX9a5xNEOw9BuEA6TLE3Esx3v510gTsgHDjivWzDluhzhpS5AGyPxhwdCPnkjRAZ22H
sgws+XMS9XCnuPQrqqjahLFeTKNHUDaMjgjFYbWUjTD/sDT90i3OYTDtsZ2Qkiq+Y6qbPmAPTdPs
w0KWG4Lt8VNrIdz3AUc53aVtK1asP9PDF4KuN8hhJUxP0+JBiUuoWjsclOtjCsvzDGmM5Bjhn80U
qZyGEb+/XWoLouIe2T3oYmtcIuPYypgXuCBJwxygUYLDqjCghTwVBdpA7953npQXW0U0QFrVpNei
Nd+bCVlDjRTm09LhyK5rrGoLGHbqgsq5p9i/lSuE/65Ah9NLuVqDmLYjJ1o896k4JnENNMi1c/oD
9MDwrGHhv/5f9s5jOXbuSrOv0i8AxYEHpon0SWYm7SU5QfDykvD2HNinr4VUlfR3V3VFaV4ThUIh
msuE2eczawP4qDjDmOZXyKc7U1wwnBRYRuh/u2MRKxLznISMeK5fzNbvO0B4ZLZl3UxHM5dqW+XK
3/SDZWzgDzkvoxFT3/Cb8SlJvS9YwdWh5WHxMNLwIHItIgq9duNxygtr+9JHptmsMkA/W2hPOSOp
Ss9UXpmGmyI8aNQIrrxazqk7ZX84x1rHoTJxFAccZhSDIvWBDafAHtfhGJkdfd6iTdaTL5cCSkw4
yc+iAqSNPz3whe2916Q7Hx7yw5zX7k4MY0YoT1Xp79GI3IeczrLzYrpRdbCUvi30Umyaqpp4cTk0
cN3EWTB3w3UMbd6IuTbyJnC0a5yW8bWCbZmOo3n0NFM/mUYNO3Aw4o2deO0p6tT8mGt9+JYlSfmU
Cml9tljCvIHy6q0yS0b50S3VGn0VVllj+QcYqPkFJNbPNJb6SiM0+xuH3Dxoepe/RmOJQE+H6a3g
QFvA9k3XeZ4+JwS/FQ0QLP6qncmSld5htp1sa4dF8zqMcfNJi9j76XvLLd5EI3MVuAVoMtUKYi9A
KHDmBnIE2O2U44xggEv2401M5oeQ1ONn4ZfUbSuJ4Eg1PfTSH2h4vCWmgiLwSoIcjldDpcHlmuw6
zVdDlPh/JEwZ6i+5yWQr9RAkVKZL8ldJUiPYFoV0xsBwIuOD1M5gnsm052BOmihc1FbEqG2VNvmM
e9YSRLWQ0eE1NkOtfSihaf16MCYoGVPe+j84EgtpNfJARxDmbDG3owSST4ArYIpdZtm8M71OhBfH
bgnJNjx98Gh1L3sA9JIcXdlNFGbV7JQrJ6odYyOKyNAIq+Up/qPfDHYwk7eof+m8J/FEct3fW87M
zxdoNBQ/E43L34K15QdFmYUwz8htyCCdK2vrtmjzK8OIUI0arVnHlFffon7RsqIasqJbFNOvRO9C
aj8zGTzgBl62q2ff1YIqaqj8FN4S7WXmsvkzW/OikVOOvTYUU0qCgymvdNevsmTjDn7lBElO2UNY
RvQQuYI6UJR2loVk709jAPoTR5v0cv06iHooSNQ0xr2IGkI5nFLJESeFmV4sGCnZoiZonNftga4d
Ty2LZvxQNcdMmVW2LcqYT3rxxL+N2SguGToDpLEOAvLecWBYEKHUY/7MbWXld4k9yZeoNut8U1S0
A2ntL6eVMHZ8bS3o7ANEKHTKYRG0pk3imWaxbbB2KlR+barRhqwsXRullxprHj1lvxdJD3+QvgyZ
akuC0NqGEgrBiq+dfpKkQ8yrijp/p8/D5SZvWnpdCU2uNJ9Le9UknF8NyvbGORtcKkKYQGm0pbPW
UxArIjLWnXSyhwqqFZ5I6fdxIGxOBPQs8pTLpdFLbz0VxGVQKjjkF1kLGqLsXD5osNMRHg1scZCe
IHoY0GoOEA0YxaX7pJFrFKnW80DN5HJYEnwBgUxrNr6mrrYZpdy87raAdbC18r6JLp0Q8ugZHf9n
z0vjBwY5/QmvHTWBNSouyLh5wLshz09xp6MY6J8HvecaG6dKYnDrs3/w5MD354gmjo1eKHNlMBAQ
CRjz7APILFhGR/UYLqHieb3qqDWWD+D3JhFgMo76foS/m60p12vqrbPxQEndTu68gsY564csIj3/
wJsYunjCo46HHr0ljgEd+EMDqt3EjaOBciL72zirrm9855gYJK/2Q6YyyA20CX8yIgBig51U/Ybh
WZT7wUNsIi4b4c74U6uyTzsbK3ClSTyrLVNuJQiTlAtGiSF7WJVhxbsFvmQbEfieuuIAlaEduHTT
RlHksYxfTO7M+U6exu+OI2ptX/O4jrdAEEryC7kVf1f+wMfN+2MgpCsIVqCzOCUqkVva9xY9jmQV
FR1kPOnznBjSKmLSsDoSr1moP0UEoAzsttl89MIorwMALyk6RuJ8E3TM/nQaOlxgVaP1gvpHCtMx
c/WSjJ7KCCmbPPQmCu/jtswBAPKi0s3HBBKxu9YKJ3xqpZ4mxwk1i9RV00ixKnnEW9iZhQURpx3C
V4CmxJWgHcl4z/sGGr3VlCZQKEqWNBA6CnucqsAUvscOxCb+zQa+IZUtu35IMs3+JHtuvg+GyXM9
gTzerx2piKI7qMbjWhKg7HdGTAqC+lNnw8wOR568VqLH/RacR2zuK17UhMpmICOBNTdZfYfsDmDJ
SQs+BUQR88Oc4v5citiDu2JmdbvGvfPwFyC5c+oNIQwE/BYoa1laVBtObgwSIfcF/cIxHCdoDzpa
HSl/PimjR6HkGSvBWHP4G/nfARiB/fGG4VU4cdUG0ojyH70e9GVbgTkY64znzbGfKvOlj3uSlR0U
d4GC0yB7GlDQEKEbkxmgMOzlZ3L60uFfV8jQTkEmeZGoCWprcyTTlStxSAPP8eXzoITp8BfNi1dT
84HbjJEdv+g8LNTa4bwIDtZz6/KQKv5tTmjzRrAAH16XKki56sJ6G0LXqlcpJtVjhlP9a0zI3wWD
Uc8XRs+4YFIoxy3Pjf5No/9IYbeqXHgyUInWMa1SHv6s61mNTZ/t1GDoz8TWnCiglOC5gcIo+Izq
aE4DJFASVlo24HiaY0MQpReF9qnzM9dlrJDVtdRN96HToY5ZZX9uDGRc4OFFsoBm8/UEPd6lqJu3
h75ihgimyMbXaUmc/9YIZpEBEmjn8UQGCxA1x2SQ8KoIUqUiklT+RMYHvzXZFGm7oJ1YdtAFIhZ6
SBvGmOFr+87wSEfjByCJXBfcNqc6lPYaTgVOqKFa+1P6Yc8IvQB6iY39+EAsTsLjmo4zeWI6KJ+Y
geY3EsHmupYF9CXLD5snU3Tmor+Xx9apuocOv+LLdxQruOjCqH4mHg9aluzPmPGQ19tqbVkFCgkO
ezBC9t0YUSQCqTXIXbEpjlQcYLMUk7sblR2SMhNoLWYmLoVRGwFewvM06XJtJjOhga5s98DIkrVZ
pNor9Z5fk+vEv+lRPY2O9V6AfVuXQiQ76bUOmuXcBrnqOgiQzJ5ZJrq3eh6sg+wT45mGIOEvgvZ7
VxlUON2ueBiQVaDi+pSNNZT/eF2bgz8uSCKmi5zuobT06uIjVr7HzQ1lWmEVadMsfgtdGb98noFH
u8n8O2oHfDvlFOcRbswqtRuxlyPzOPk342M2K+sY66o89sWA48yait3SFIN5ns92tGMI6LlwHfDm
V3YGcGWP2bQpk6R4rObRrBiIBpC7hIYpgFfOskSi7v10o7nAbasR4htIu/nMLdLdAelDPqVNzADZ
UdnVC92962TZvmV6N7yjFEbXGbTrCWs8ob7bgmbr5vEt98LkoYqnj7jw55dY6cOLVib1eqiRm8LW
Z9pki0fHiOuoDzA2cHXiWDZWoFqJ3CWMUf7JM8s8wliOz1FFFBydI0/Q7wE+Gx7mXJRHPDELxbjW
Sf3c8PtCrk8Mih7xFNSFX108Urw8H6j9bmZp+K8MjZh8Q9RwboWV3e/Yu1BdXMoyv20Xq9Efcy0I
GVYfCxwswjGGcZYipfzaJANCjaY+gWZ3zwth7XemlePZmwrnTyuU9h5H0As0O2c4XvIkoR26G8qz
chvW1OKQ9l97lB4qZV1/zkevWpOTtino07HTda3YeLXXvicMaWudFiO/r3Ql0d5Z9Tuyqk2zThMR
k8j3y2+/EKiJYVMOB1eb5LpiecmnDX6y2XiG9me2lPdIpIc6gR96F2ckquB0vvVIrOfRtGLIUtRL
rAPC8Yuo1ELo69hJ4mSXlkUbJ48jwWYwDLVxaY19TGnUQPRruVRHN4WY5gNaqpwuiziZtMl54pSN
76cZ5w603QV/Tj1Okrf8Sifokq7IgyC34wnRkWi7yzyPHZ/9yATHeV22d7cglNZXnIWz3tmgmEMU
9yv/gp5FnjcRag8Mpr2LzKb9Afxu3ZcMPAh1RhHFFO8cNQZRBPyLm1W3X4RHA8kMnThd+1NIrj2L
vYeM1S8vTKWPItK0SztBvYNChykyj3SH8VfFb+QP/TfEWdJbaijiaw6Z+C2HXX9fN36PwJ6Z6wp9
94mkFndyR5ASnLV9V/UFlip2+8DEsWX9waPj8obwCo2IdKo370osT6Io9R8kLzFAR7xy47lY6kRJ
qu2tsG7eiraXiPH28Jv1PvqBPnSN7ZHbd7jc+jePaqz/SoTq0zZb9XLTq/63WPw/UvdcdLj/v7q3
+fzv1L3la/89RyL+tgg16HQO9G6LU/I/ciTG3xyH9W4+eUWWOgFw+kuOxGeDFFER3zCA2PDO5qv+
ou4xLJD6MGHl2K5l/EvRxFskhVLVsoXqP5ZLsZXEIf9omxZpyP+k7nVOXzcZ5a3Mh4Hc1zoFfK/1
DwIiZ8hLINIfHdjezNQyp1gypc37XGlVkBCLOEdNVAauoS1lopL6ywBIv3QKdqjMYXnNzbFX4BCc
dmbQ0Ft9bcaI3us2MrHvZ2v+CIUrt2TWfXPZmcOzmaUG9qrtxXQgARDvPbMcr2UpYDyOnpODuB1U
/Bh7Wn61cVOW/7VDfovNSDHK2qCtZdSXj1nXcSfWaQjCcvRWbubnD70/jm9eM4UvCqc+WtV1S058
qn2+vvfSctx12hLss9KBX4F02YjylBFOezR76P5bepA02+K4wThQvBFYlsnulC5q2eZiRbPhrCWh
6Y4ODVRdAIoTWbBycIH/zDyy/KmmkzFFc7jnxBhfyP3TrKvyseGAMPfPQ6tsXC2MbqyfEGb5JucM
NK+MNOJ3irSIdlyaJ9O+raSv1pps+XY0WlF7KsLQ1K8ynx8LzKzyAEqzDoLVJgOgQzALvrbVWksd
YaurJrBEwxM0r/TfcYYeqDF6z2Tz+xASqxdPCC5TCWs4SzwfPanVzECGxvxH9L6G/yVObkOJk2Qn
nmLQayN4SD80/DZwEGfblUJ3OXdVPAdYWjtTmeLZaCI2OtgjVhAwEYrNUNCPVmiOBpx/i95N6QxP
cQv6PQD2grBntYHAdT1F04xJNTpcXvwnQwmY+oKVKnpuQTwGIowMQHVmuGYppbvK08D/VAMjYpWE
lFsB18hZto+y9mjgEazJdzJzEVtyoKaPdubZr3EzqFXpVFilRVI9jUj0l7DRPF4pLBjphFeSC9cj
HvJlFj/mTgQrr4td/Vklo3vHVgdJCLAtvlm8ljPjuCqiW2Hk6pGwOfp2Ac4PJFpGAFfZ9llvcAZd
dFPiiFN0zHSzOlRtpgNbx/ciXZKgX3UWJaWi4W5ajbAl7y2LUagiW5BUs3m1vRonthRuspUM21s5
kJXpTPgfvEgMXrxRNw0rRDkspHnKhn3S5g8TeIMtwlmzdjlKrmvWtT1mpcF7ShmW+Mn578/GmKgn
8Hu0ZgsDuJFHl4XpY1mm4UAWtSr/pzHL/BQNefbm9aP8NZbL/ecP7mUcIQRaKaNFZ4QExVCAumNV
t9MTizOKB2F0nXWhVdb260mzdANYvlv8lOEg/7Qz4dwsrrNtAwyx3mIbuvtkWj5lBsYSCaFoNOTB
Wb04UND3ooxoOC3TMNEXjpOVxYEhLkz+5Zml9zuppXG8nW4mnbH4dfbNumsXF2+kK7V2lROeCIil
i0kcslUA369dHMB88QK7my04Lw5hczMLe8LNW/Jeh3xxEp3FU7RN9oVxun0WrLJ4NBbnEWDz1Vi8
SKdU0SP4bvMBtBe9c6nV9/XiXkpeENzXi6VpOuP4kiw+J8gxOpmL95kuLii8hG6LG+OyvwyPtF/c
0i5mtZCdcz+iYi1eKq6qHnYMaAYdFxRYgkpuckePr7wmOYDYWhXxt7yZtPnNsIWuOjyqxcX1b4bu
kJeAysyb0dveTF9v8X/DmxU83GzhLCW1s6oXt9iAYNqteGZjIlc3QxkMLuayuBnNnWMQDyQo7TY7
gDM143mVsxMj6Iop++huhnV4M6+T2uViARrM+qWhbY+c4KmR91nQi/rVjyXxiQ69TSAgppl1pyLk
vIjU2WTqfwB87CDK9HddLcjsUZmxlcjXLgRvc1dUY7KblL/VBwsZoUIkdDvHxBaIT2Mq7zuEo3Qb
efoZ+wLYcsN2J9jsGTSzxjjN+dEjTWcnBdAzv9u6Kc8f+u5FJ19xP1ah7DYNgQKNVE3hp9eo8x8h
MLxrgnxyKV50mW2i/A6x5NciOPayfvc6uVHxBV7oJ0grny7zgtrkPoXkmbA20d7mIObVVMenG3oT
/FnQma/t7NxpmHm8Sh7tscCV6eoN6nVFB3A2GDL5ezXmaaqQ/Z34hf1sK2LwTz5x/KBccO7Gq/Km
XdQ1a1ac6OSz1MoYJJ5O/1CwYCSKykNN0Txz7h1v3iVm9TO3yXbOfY8Ufd2q+yaDLjeIOxyk1Whz
1fPOnUqSo11P+2n0nnpD27U+q08QLbKEF4FXorm2G9UCAXDjQLneUwGL7cwhLkLM61amZwc3GChL
ACkV8jWix6mo8BzcEQ74jbWqso+pZqsZixkc6KBSTQsp2NfOmW73bzxC220XD9wxlkt5Unvp4QTd
ykkJVYcVe+cAfhufou53Y9EEvnIeTAWOq+9+0sE+ZqP+S2/mezfTDyxB0lf4+/SKEUW4osgN0nQN
NePBtOo/gj0yEp+N/RDcW6QbjlXVb9mZ5O54ktKVLNDo/g4edZMYWnvI6J11MWkh5xvuOgqc7nPE
pQMVdkRc5H0+w2+ILPU8NjDTRu4yUiNzW8BS68f3QrD/yxtN3kDWxOnPndlYQhyFSBVneNp0bEI4
ua0GiOEf7FJPVPmGVrv3hIa/ATPUBbJxH9hBtU3q5Jgl7bWo5Su0+oewSN6FDSNOTdrnCNZ1CY4i
GGrw0ufsUJrE9uE0CMSrqzUSFnadujlIPFpqXs6a4EAGYbNqdxFIZJDrA66eFjPHaT3Ure4Qjc29
NXFYaecMO6ixhk1Ia+spr1UQOWcv+jKn4cgMEq9wdH/ocO2NSqBow4AConUa0fNgJR09TjKrxPb2
AzFRHI4i3yRCux9ZYlon2To1xgdjekoZUiC1p4N/6NVwNKDqKWK+G62ngan34JiAt8391w1QIaLw
m1hHIIHeFtmXntPUU/HRib6A3j2xVWEZX/bUZy8A3nZW6+1M4CrgJD7mrA7sQemE9tRz5MQX2dFR
U/KrUfMdU/UxcuiOc0MgYEdBS58ddMSqz5sRErz9UKbNH8PoHxpIWCmOszQUvBJ7PxSsDnPG3yY7
n2I4WpHiGmfnqTtCfpuGHaXUDeHxk2PXH4W8lMa703frrCG/Z8qvXq+mgGvxbKZ0O5MK9PQ1Yhpi
mL9zwX2DeUfcLsXayLN9j26vmP7mTls4AxcWP1h4fi4+ep/dhSRWGjrW/KlQdtXkXHgFPBnCujpd
+l4l9qU2zO9quEg6ElQX1ugsRaF2sAW/Uyt8QOh9ZnfTru7L09DRKtFz/2RjQq/02FeUthlWx3T4
jnS5SK7ajkfYuonlQU7izaz0O1nD5TKzx6JBokTeatv2mRP+2ichS1j4p9Om73/i+FVasPizbzd1
Ft4LHrh1PexTv8DrYpdWUd95Cc+5sYeKYTWHInnSKjRq8ytxot9TE2/YbEF+q37Q+mObU+I3x7Nv
fbKmzFn15bFEs+QC0vnE+c6D4PolpmclvFqb0ke5jzCfXZAUiKhcZKqKSYZlwxpJst6oZN7OhM0C
SaM5mYz+zfDmg+NymojM+gIxdB8RSVj1vVYhqpTPJCCoIBfHxQyNW5gRtmKz7Su7ytLVHCoMDWjR
tAqO7FPDIWnWYVduZ+JDhqEuqObYCUwBtb13c/f1tkgAXfw1zSXGC2kv1bp/kLO0d1daVCQjm1VP
rJcT6ZcTOyHBPldMpOrasjHXAMLHMBjConpo3HhogjB3QROmcdedKqAVz3amzessZVvBHsAePn/E
lr5nWUvKweHUktl3aJBlQWHNGsqz4Z0pjLcHncjlXRgm01ebNO6hpv3JhyoHfycFpXmQ4OPWYvzg
/cFqo2jDgBdfJ7b7MjsDRwRjr/KU5XdgKWAb1bvKLvnjyJBs8CqrwvmNcSiTnOlYmRsQyC4JiPWx
gdzke+V5qEDje2J4mYYsOw/kOnatRzYOyRKnaDnp8W2avujzjZeFw6vLdtO1QTqNkpytMUC6Lrtu
ZZ58+4jNkwmmyo4nllpiErabCkH6d+LL6N5AtrdXVT3bT5qkhg3X8lnGGHUB/zSab5JFUk8plurB
GpbgJOy7Otnj/Zk4h9XcswfAyWBtzprHBEu3y+Bdwga+n5icDxIsb7s3x2c5BY9KG+m2cNlbRMJ1
1vT7rB3btyGPs8V0jNPsOmAXGftUVK2/69nny71b3Ep9rNJjboNTHkAdsgoLiBERwUC4g+KuTkQ9
v1XloH9WbEODRw6ztLlY0KQBfjitHe+on2j8Hx3H/IFZX3znN3cZAlmZ4Z1q9dG8+c/mzYt2b740
G6TxqBNY7peiW35y5tAH2ZSLoc2ch7cdDUb1Og1sVl0JK8X9HrrMtHZD7NAwk12LW1l00cm7uebe
zUHHH+Pmm/oSOykyqzy59ovhrt+8d64MfHgEWUyt5ubPZzevXrCEeNxMPtkZbzHzB5oA30CqcF+V
7rZv0c33N0jxmvNMQ1izY2tb3hICYd164t68JQfMW4pgviUKzFu6gMiKv0fwIXMgbvkDA34tvzrr
0GaeBLWuwe0o2Mjk3LILHq8PnbI5kYZxCTckTijI8d8yDx6C9wVgwJKEiExd7LR4SUiwtrrCbY6d
aFm6OfFnJ17jEhW5pSvkLWmR3FIX1eSl3YG9wUsaowkxKdk/EZrb+JbYyCKrYN23uyQ59CXUkd/y
HfEt65Hech/tLQMSmWNhwcIquY/6JSbSTBaDKqIq6ZH2liRhXxE3kJXFJEy6LHfSH0trpiHIbykU
llc7nx4xjuLQLzEVdUusoEuTXmH14NIx56GPZV3p2lHAZVBMZ0vuZYq68Yoaag048HTo2UZidPQk
MXKzNQmicqNXdVfu2A/mbGPD7THGZ0ffC/ZHX7kVxVda6+1n51lzDxnUqFkAylv0l+SqIv0+NWV1
6VTU30fUUHfSTtGcw7AjnjSGrPoYOr06SGXrz5Xf4206iTQ3/AWLs5uG+QCEiH66a06i/3tqEkL3
f52oM5e27z8lN9rANiu3eJSbNkdQ37X+H5r6P8OjYU7/dFWYE5Z5xGYZ2rh+NiHC3zKcgCfJc+a3
bKd7y3k2t8xncct/AkbjQ8mWWKisfI5e2i0tOi7BUSD4vIiBao0EgNi3AFP6ljMlZ07mNCZ9KnR2
8hIQXzKp/i2fat6yqnwmlIKKrh6SrVrirHx0JFu1eUm5/q+8/D/pKRqWrf+30Mpt+/39f57Up/r+
a0Px37/s77IyjXcOg5QQDSEslsHY/5SVrb8Bu9WFYGizbnnSv8jKzt8AmNNc9DwHCdn0+TX+ISuL
v2FzIwC7BkKwvhAt/4XQqI5W8X9d5LZjG9QDcIU55CHFCgt5+6/9xJwsup9rHNr81mIMMHtCmTDV
pq94MLU7Nxrag9XG/rkLERZBdC/jBINZc0IOzpzVkPX1s5EaC17vNojkYwbOiMWOz6RYulPhoecE
9W18GdqpepC3oWaqitbEdlmGnckUcDA8MBfUdzvmTu82GkkiZh8gN90/dhfuvGXxkl2fwXmsZrYL
kvlhiUTDyKV5Zy/5guZz7tP4FcgOmJNqI+xvk0ENzkZgMIV4nvG7xZgi5UTZbWrvnKQ5xvMreUJI
6K05srWiPJemvx1s9hoBDd3P/hc6yDZMdG0toa/odWfttULzl0TcauSEXWMukRovt6g0u9nuCBF2
fXDb7SR1F7vTLc8MzjAoo0OCSzglzgNFYmZwC/OrOSHjyKBWaM+mBIwuy51OnEuvTKQ3iiTob+ib
/8IeqJKtTsOjJoow+XY8LT047UKT0dmoQNjUvDb1fcQHwV5GZjr3pMh/KC9iy5CInruOeXek/1lS
mzBDdr24RsLuEkXLEExNv9H8j7aVF633PjVhoIVVeQ4mPDIuESdkZKilVieNP6hUe6+WV5fvxYS3
kWPLQkAylbdFUzAX6qOFQr5qKCdsddtON2kmThj2A2ptf001/c7IYEZNfFuCfgnKHCRLtggXH6Xu
v1okmMu55bDavNSWTeJJn12W4pExazhjdOFEHqW7JJrNllUyT52svkoym9cpjK5kJ1nUaT/RT995
QoJxFztj5mwuiqdiTPmmpo6PSyU26Niatho0C/gf4Rctfkr6+SlR2jKKmN+kYZ76ott7OluIQofo
jNutXDZuIv/6O7f1AhdjNG28Q9+gO43dMUxaTg7I6H6ETs2S2QBreV+l4YFpu6fzpzbobHw0mv9q
O+VlzJwjogXzcNiHj2RWWFHOziyUnj2NQwUGnY+2NkJxtOfpLs0m6njdEPh98VDWw4scJSL0+OnW
trNCvLgzCvtNTP7BbTr3aqveCxgf3vXWYW0ihg88tLUU7nECfujn61aZHwb1Ev5NoXrx2SuHsrU3
pnxv1xNjgXeSDkjZTF0bn6VkiTI3cjZe2ah2l9Cz8htQPomHs+LbEGhCcVgYnMq3r2Uab1otR9zy
7mlFv2nACsspfY8nOKZWgSQnf5HJ2Jimdc6i5iPWphcC3WRMtQv13jsWq52SXO1JDa3morqG5r0+
4xhwivjJxo78ACcP+G/thyHrdUkv9n0mwcUuREZPuyy1h7kqHyyRkwQpWQhXtRe3DMkasf2a+1Nn
FYDvENFq9/Aftv9YFEah46LH+cadDVbKkjZyo0NBb3mI5Yle4bGL4s3Azr5WxQzybJtoHRUkWnJI
Wsmfv3q3/mObWGMcktyt8a0X3mR0ngwskfQMVf7d0uS1Mp07l4ZaG8XOVphiXVtXVgND36zBaBHR
aZvmt24193bRXMnjXEL45sRDjYCVx4HJ8qZUUF1jeWYwOT4rQLtTwpOzCVlrVLMFxm/XzE8rgRhM
ROM+nvtXoOtrJ+/XJdTztvyck9I/Mgq/akPz0KcswmBs1PBGWDi20cbmrOlPbG3+HZvjOk0/gbDv
vYntyf2ry6qziTATNpRBRl0jdYKMYYZwHshuPIdV+DuPPkKbQjQphCSfj75mHv1S/NEB+wXs79rn
PuEPyliZhrnS1ldhAVCPu0e9157yvrzKlA6yW953LpQJVT6opXM2Druw9K+Ze61HdbRre10lDedV
/iZCXgRyqHKbZqO0Q2yHLy7b1lIz31sQp6BWwW3ZhUZLYgjSModfIHoWxcT06sTfbRn/irARSwVa
cZi7X+kw0jscmlUEw9hdZBG73vaFdwTjQbCGWvyU73y//KAO8BBJmtQaopKBakg2fmL4VYBxO8Je
XHj2WtXlvc5SydCscPZaWztNhbAfWSevbWyZHHIHGakrTyIBxIo7eSK+iextPObtBW/pAN8E35cD
qsnNP2oblrYA8OzYN5VfNdN+H6h8U035k7G0TIaIL5zZNJa5e3w348OJ9Tqox+rZIeeUduNRhTNh
/P5tolmH0/NIhpEkOZ3oLL0XnsUf1abYoR+TvKzQhFvCej4kdqKVv8KI9nj4Z9Ydj8MkyzaUniGa
lZt6ehMEq2OrfMB6u2Nx5XMYYo9l84eY7J3XFQQbMwSx5jHWeOVOGS1tdok7VdAnHIZZBtaaJD5n
5Gy7B17GMrpZhrtEr8nojxvukpDI6onTIOcEHuCRzB9Cq+UmFMl2GrjKTaHgWKKbWlUsTmTq9pp+
JmqGWZCdXGRpLbPv5jY82YojKmGovH1q+AQqnkJsHP/VdO0YpGO3t9lfpHfNYaB6yVj1lJYemykS
fZvN2Yau8yFJcK8r796T8QfVaAR5fZuQ94dZ7YFw7Emf0PVqUdv0gr0qpvYE3vOd5ydl5O6KBPSR
FvmB5rzg2oKO3dXf0GJGhFsYmun0HvudXMVNu6/GaiMBuw5o7Uhr0xYdwC6fDaCXlktK1Ev09jRz
QAlqMe4IDh10/0+fE1mEY7xuXOOlccydUu2ptJhtVA4ziwjplg7F9FiGxlVAMWcd8K7x+ZouFnyA
IftomyByeRSxl6wRgsY/4auYdyZr2o8ss30jBU+rWB143v1lU5+eAtcGmQD8YtvJYa2rp2yOWBsq
WOrJ8hPjrCmN9qhYI5mwV2Cp4a1HL980NT+kMdszsGQ2OByQtlgIuqP6vbJwqUGyIMxOzxR5VgLY
oFmVKLHyoJEjsrRhFZK/PfVlvDfGadWK68TBVbe+XaRDCDtb8p/mTrTuu+sfeS+vFxyRw9Zl1rvU
q5I+aSy4louJrE9qOxgSTRLtl7WBpl6RwJV4KrfVgc0gYqyNAeC7wm5HtInT0zjQV1KgffmjcB26
bLdX8cYrvuQiCI3PihXviGoeMpYXJDMbQjzBrnBn3oLYtbDMCAAGfcVEvCP3K0+6V92NbDdgkFj7
br5SMqERzJOhzu8xgNe1jXs01AsVvAjjF2Qac52ozP3Vjml39diLWPuPRW5PoNj75uT+Y2+hLuMv
oB9/ltWFpCL2Ik9P7FhkUapfvnq3Bj9SjjluMmxGtvNptFiXiCmN/2SCpL4WeZMW6wgrn2eMR/Rp
XdxoAVUlcj4417p4cduQMNBl063b0oMyYIALJXkxSFZ591md70QhWPWWtamNmLmQCgwGyOWnVYAl
mn9j78x6IzfSLv1XPsw9jWBwB+brCyVz076rVDeESgv3fQ3++nnIcrWr2na1ewwM5uJzAwbcklKZ
KSYj4j3nPGfGCXFSL2ADk9CEtauZnIm72GknZMUFg+CuRAT4EZAahnKpb+jWKocl3TNsUvA+DWeK
tfDBFpCEUOmWMoiYtqo7rJ2WtbPWvghDX7oj4rVHgrEMnRJEdkfYc03FKSXFulJBbiCveS/0iTtU
T5BanaRY+F+UU0Qa0Fi1VFjUM8Waa7FFngrj1syhU5xwihgv4H6oDzGNhj8EBiSEGVkD3GVzPmQ2
USXTSj5P0ikoIhHF3ehhcst4hGPXAC3CQef6xcxW3lJevq2mqdqBAWeXKWbMihBJlom+/dRYRO9r
uhyvdEsSqG/iYmtXmXYXTlb5rJlFfJmJikCMtDT9lPxPeTbambdPrLjawRmV14zaTGJudbw3ZMQJ
B4WE5BbZKJ8PDv3cdhxjJnW8YtgXMk8p6LVhms74cEwtwHyMUFTt4LkqX5vM9i3xavfGiPLmwE4J
K3qjO4yXrdI5beVc7iUT13048JLaxHOYko/SPfdEEMJ6rN0WT+DSp2r2ro+dyOREh6HgJldWcGeA
DjwtPeRnLE4YVgCAe48DctG+ozYAm/tI4nEUPC1zGgUFjA0A70aWYM0iXkA+J+WdnmJGpWXB2+f5
aJ1NbOjvepe31spLKnsoumbNidRWJ4ZxYnt9eVaXbXlG0TDYN496VC6B8qzlqe8NE/yzChVugBq9
z0ZMPK8XD2uRN8Fjk/IAgYb5Ks093NrS9LpNZFfTNVu9nAHrUN4xoM+YeTXVFWq3x2zbacHYOFzW
5TDlHyP0H9gG8PAOfFSCu6xZzkOEQk+pbizfa92bbrveGfbDsDxZxIt9bGEv5vp3/brgj+gNY7yQ
lvOtZWVyY3Ofu6aRsTzacC3OpJ2NvsE1dYLNjGEfcO/pmi3D8AprpoL6PCWf5yJW24CN53mDCf6O
BWV8lV7yEQrcNqE7AldV7rQfoL5uKouubJvWzSOgbahc/QromjMteFILuwvANT+ccEPdOx63vcI1
wOqRQGJqG6RNd9WuILCcwxKTx6iwo7MaaaO/G0RA65DFU0k5Hk0tImbXUUgVestv0ZWeE3uMwjfi
kOzBktaxx13fjIQRWL+wLhBW5JlJVc5fqFatoND2bQwhQC31snlUJV9Uju/v0pZe7rG3RGZNA6Io
R0FQkhhCo0uKNycj/MRVP6odx0JSW2VquJ8SywwfignU4Zk3FNNLPpDUPamGkbu3aeUMtnOnzxwc
C5OSJyHMog9swgwBZauolwI30l8zDJDPDX+Rt5kPwPgSZTUjafBAUNAD94ObvaSHqGUzMEZLosDI
s1Pu+PIaAgMt96Y+XWW9R2zSU8RPESUhJNXhAImTC/9yrLPhIil770rpY3lmtCZeDAYdpT9hW9nJ
vpuckyrO0UxxLrG9lGOJXS53LYCIkW4B0u5wEveJwdUA6xcvPt5ebubBZy9Jp2sVet5jxQNsvKIs
7xyrL/1y5g9rMXzft7IqTnPlZe8pcaEXRwjvUeun6bbodRYSyIe0jsWyei/0otpBG4z3ehckX3Jt
0p/MLHc4EOdWZJ0IPjrnNXwlqtRQf4DTc3DZuXanOt8kH3FF7AtRLg5m73qEdXqFdmBcqcQZb4hh
ECkLmHbluwFn2+1k2uxPE3IWfgwgUduGbs1VwbwMaktG5pa7JT6jglSmJloFvXpqu+ZSo7Mkp05Y
jg9YMFNeZhpG0AvBuMxUvrmAT30xjLCd28ka1WXsmYO2EZNE0Sdsp5XlciwFycsHiOO6UQjzAWYM
wxQM2h2qPk9AUrgqkQwso6unjVerpT7QcyJYrhFU9Dm30I+GXjMVPms3OiNVZF6E2qwDC3QjdhaL
KlKgONgxYG3iu58Cwj4bHK9wgQv8ajuSJeaLjRXf14MR8QaFljedkaB6zWRMXhllsVgtUveog+Gz
ciJ8VUk++cZUxXfUB0TXPT7xeDsjr9oXGcAwAjACAs9JFHt6cFUQ+n10+sboNlpvsaxO0yIJhoUq
P5d2wlPPOsANBzOfgckaKweiXcS5mcHVRUqFG2UAQXMfdqh45qRZd8T0aP6yiYZibbDQ+zL2//Yq
AnIAIkaIlcdyBVr4ohXGq2yoLwqikepsJtmHP3KKGTPuTh072KweSoS3VYQs58zaK7NHmXTF+DB6
2hkLeHnprAImM1KeOdYnRoqA3BaRM2zFp2aVPk1lIoOaiyLqdZO8UalIvsyrYDqt4qm16KjJKqma
pYa8agzBuHOFohmhRX39zuj8B0CAH3EAy2DXod0W7p3J5JkZ8r/iAP5du+3/+M//mv8chuyf+88v
S3b2DAr+a/NS/SATLJN/Wln54V+VAusXc+HbMhCz+IJwQRx+7bfS7V+YRaBFOHId+SMG/JNjaNKJ
5RiG5wgs6sL9QSiQv7joDhgWMVC6EjbufyIUIDr8q05gYfuVAkaYZCMsVs7hdxxDq7TYK82cOil9
8LzTYU2eRmsK1Q2TNn2I4cgn0KDqoAVxTt0MVmOLSCui94AbdlZj7BGMYH3/lPaQbh+CQde0DzCd
nHFjfKiYz0kCQ+daYrX6mrClfYi0ba3JVGBA0uRrvuZxKbZqz4c1pQvHIvAuVc2n/0ZAQlu4M0N0
46yBX+a87Wmnk2/z6XS0qCLxYuM1tcPShe+OuALRVhhWtUlFXU67bk0cO2v6OFyTyINMYghrSnWu
H2ATGHfzmmcuOxdTM5HA9GZaE8/umn6eaniONCwUghk6S4VLmIbdNL4eTAS4zK2ccm3cUuMhr+QS
uTY4MVyhEg3VXa/B6aBtxMs6SgbirtxHa5gbzj77TzZgjdp5kU3qG3MmCfBsTYNHYUufp4JnmZ2X
5miIHUNQguSRJTDkIcP08XH4ahRwI7fxGdc59dXYt02yp0qeEGRagzjwha4R9qGqA+f7lQNy6t3A
R5PqSOYRyiZ+ugrmotBLzn/x6n8Yced+pIKLBRQYh7ldvnomaoMKWT8clvt8qgjF7eJ1EUAga6ud
WJeIYV0uPPZ1ONpYQ+iNnXzVeBSZLysMVonqHloly45pVvPOzZ301VyXJbkuUc6yWmXLujWbVthv
tWVJc5fFrW0i1rmFLVAsxgvWv9qbU8yi+hxhhFqWyeVtqw/5sobStsVyaq9La7ous5wLk+6i1fQK
29mAC6yX8dxew7cyAzDOnAlo8JzEqG10+AlITVoNp1zONv5aYWkD635oDDE1k4QQ3G2IKEttJgD0
5hKrFTsHVek12wgWKItNBchaXjlL2nzBstokz7VhNvkhRxJnI8tWV98rrM+Q0LWYIigzc8t6583T
4lfqteoMYWMoP/Bhp3guySYNviDpLZYFrW73IrQw1rkJFaYmkMHx2FogEVGVNKfY4vjANZRTkpqf
lMG4uBvwBqitnVHteGCyJJDmacJ49LI0PZdhVNy59NfW8BymNtsUHt1FJzY1EvQ3uJ1ZvCvKNAlE
8xE8AMvhOOHocTZwNOEd9RWhO5T7XgtwkVtm5JvugGefT4gRbyn2bC7yeBqYwNgsoRe4I5zhLJhG
z7xrRYgd0myIMZ/WVjuY9yHYYuIqNq1TxkZ0AiQLpefxjXAm8YkIVm3uS4dd9kVfmT1jZKtuxRUw
wVwdc7dGuKwjJhvXuWk0GVnmkQuefzvBl9BqCKKbBPYJEmjNVWjpzpG6QQiCIB2zLwqZ41MnGyr1
4rC5ULKQvkajFTGPfuLuI/JD1vbdxs11WC+SKKayI8xkExFHqJam2M6a8wEI5hHvUFb7A7OmcNcT
OZUtz3rT5HyW7CV67gTtNahD83LIUc90gTF4ws5+YO+DNcgkuNqM7mtu5E98YEjw0thzV4TBVZiV
7ODMIGb4KPt6PsFvHp/ackZJI5hdksAZ8ACS5AiZBo+9qveJ7LW3mn/jWctbbt8QXGHhDbBEIoQH
31x6IALaKs69qPOroqCPp2sbWoUDxz7UU9O/KfTYT4WSnDJJDT578YAFrWQDK2pjvjSxNYyXnCSi
C/b5uADnUQS+pqKgOpusxDlEtWvcWpFW7ArPMOfTqU2HwPcabaaUoWaPS/YbN3oy6eBq2O5tZnrN
GA9X80eX6P0l8xeKVCPus8mxb9VFw4pCIlNLM4CjmYgOKqKsrID3dm3Qi0Cusw9OQ0oGYiKpW0uO
7MAJ5TSkOfLiGEXsfnEJM+ZahOu4rdC9uIcw6+5MxJUc63eZWdGBsw8ZdWsOGwBlZdlsNTHnZ5k3
mtQu6/NDxg19m8bMu7Q4ie+hV9sbI22DA7iWfj6UgPNwRBOI0evOvUAvH3blLEa/KzkhaVNknIQY
BP1h1IzDsu5uwqltafWtdX95Ax6wZw87LyyNjRYJtZlHFjOh9Iem8J5JYcM8KA3jKWQf/WVIKKrI
u2T4pDPov6q7/moaadmIEqsjpFxSmiX1F54rKZssC4rYF3WQPpFpIHiV9ozfhjqFJZgXeIvZqFxp
9Eoy53SsbWKBlz0pSHve8dlUG49F6EVvocwQ2PJZD5MbWiWwcZZlXG6KxKJIK0sCVLdJ5LvYNC+a
oDbPqZUv7gs+asiz9EkDdKRhvAzt6VYDgHdXQRtkPpqRa2mdS+Xk3b3NxntboL0eE+DqZ8AggrOs
noM3s6LdIpBThY7WP9AiI2/nooc7oeIS7+SIY2ZjGnSBO2FLZlZ0d0oTBaW38asHmuqRtuwvGJuu
DI15qJHFCBOW/Z6F+jmWTEiFATGgGgKBVWnjngP13aSP8TM0E+AnhZOc17HrnuaxXWzADwDX1JSJ
Xb+wTjVCsESd0vYt0vWAifCg7mZPpm+6UeFDw4enPKNnvsRnrxdd8GphYqZyRFqnYmwPdj6lt0xB
adTB7n3EbDUCDZqCq7EawiPbl/bFkdkBXG3lA8+o/RiUArmLjvEf4sSaebDlEyu/tcE/EZ6yXAxQ
1tLUp7BTbIoiqxcJNvjcdXV+IdmPnY5jH58zY8BaBdjdY5Cdk6lGCIlTtaeksxOSaHvg88LvsJ0V
H/pM1q6qC3rL56YhjGH26lPsKZS5mIQdJKDzKjTrfU7+MFEOolOVhkfOMeXeksO7y6AT31OQkZKg
ifG0TvgwjjNwIN0meTBOIMKabmqpTpkLyw9cqKTm3I7GJpxt4ZPY5kjdJCGDlAy8yhyZ6lwjlHfv
dl7i20POSpS0IC1teGG6n/ZhaoLAyJWxcTovuBkKrn2cJv2ecZ2lI3UIgDcOKICDxgbMD+Iwpmuu
mKzTmk4slvagfoUb4h17yghfx6KayIBAadpMnSvPqWuejgGbfXAvnNQ35mRhOcxjfXwaMggrfB4m
79j1VuWdqRlczhdjyPDiG2GW7TAPOATmczQJ00wp7mKbyEJIgdHIDpOSn5bkUiDa8XooTGvkI+p+
1Kkabmor/dzGmWjPAIe3J9gkA3UBWNpmb7JUrCAKI+wT997zvnfNA+G9kDJJ6tEB4kD5cpFzt16g
7EPL+PZuqrtgX6MGaRvA2x6DaO4wKV2lhZFzB6mqEwF56BBXrVSbOClSYEdhRDNNHtl3BP2wTofK
3rqwzJnWYoa9K0RXXY21N55jpBTJdtAnMKeZk4y0XddE3QO4lh92KOo9UxWKeBI5UDnqAanZsE6j
WCWEAMkgKtpuO7kh/JXsCDfx5VYfUpwmWqQ32Ep6XTtS2TmeFZZkgwN7N9+bHetZ2TXMC5nG5/dl
bObZprLTp9Qb2yNji9DPdRYcshqX7MD1e1MFxZeqDTu8tlzrkyuR4kl+q5vYSrNd1duPgR4UfleL
80aw80+HJqJ4wnIeqP76ks/GdIeOjX29ZzThxABQU6NiRc+luBxMN7oaLJnvm8GqfCXLBOO8y3pH
gQOMyXHe1R5HGy7H4D7UnSV0QdgoUuEnORafg0pk+3Rw46Nrts0zqO52M2t2dtqNSXjGhVadQQbQ
dx55u22Ug9gjG4+5oXDi7BgnLatMhU7esgEBfyWraucNznhHGCHakMOKvK2E/U5saSiy6wBq+2Ib
KdJ560ih8Pt4zszmSFVAYZiZPGmOSphtZR4BsDoXlE5W1flIUBE0SBXiFje6+W2OWrcCYItz4YRe
we46sE37DRUNiM+Q9BWkdjfB1ZDN4bgtwZ2eppkK4t0wNQEhBU2RLZoij2ovFrQmH7NmO4SK7VqJ
v803tcSmn6ue7QsspKR0OzNlwCkSEXyebMOxl5aOwN2TWo7EeeFUQ4vS2NFQqQbMGwiZ0xGEPiVi
8WyVV0OpDLlT1ax/sganJAPEdS5xsYZJeeDD6ta+3rhG6OOT6gnGCSmpylJV/gh3pLyfa6Q7Kte1
MNn3mcTSOlsUpu+hHjrlwVB13uy8NJiogap6HGVUGHobnMnL5dsxtoZhaFA4pxg9vsm8r/tLAGzw
cDw9ix9wqrfm2YxfzNs2/QRNpx0ZSBMMXpJR1UrciQOT3sNsJfGIuYIAeCIr3cQz0jMAO9RxXD6k
cd46i1wC4YfbLtTnIcR33zY5QeFshQLpKyAoQinu9zMbumV3tKCEhqYdpr2y+5FVRgziNhwHZuhu
moIiIu+qD1tJDoiQa06M80Tj4Nlu6MFlzxytWCPTdPTygGwmo6sSwo6EvbjAkIYVjBQI4IO0lAVx
vLVWhFKVTGOzpcUkRteAEgYpwiPVrvWNVd2wBWUs6LWUkS5pBPuZt3MBNlFbCPHRWElO1kp1yoeq
iQ4hmM/3SAnzjYptoziZR4UM0To6V+a0YqI8u+JeVXfwJn2HXiBE1IUsNa2UKQ1C38wwc/BsvzQs
7sFlFpgPsKOBVDkLr8rSy2KXxzNbAG/lWdmFZtxqfQ/lKluAV92CvjJp4GUuHM0gJ7muIvaJKzNL
izQiXSeeSaANOpReeRfDCuDiECOfbI8Elx99RXRFWZcfxYruSji8k4jn2EQN3wr5clLHxSpR07az
ddUCAtNXKFjV6qb+5X/Mwn/FLPzrOI+h2b+ZBWoLb/Z7v/BvP/nrINDFGGwwDmHa5xpCOMz7vg4C
JSQK6cGZdWHQwvCxGBF+NwlkAohcgoODFixmvd8Mw9L9BesxFmT2B85SrmX/J3NA2/yxIouxMhhb
/sfvEQwq+Y8f/cIzhIRMr3AsAXOU2rYtYzn5XUZGKYFGdwvYNWJjP0CKYWiUTzek84yr0Y05dxSa
dy1iDVmmrOqazB74cV+k4F13I7sHHQmjnm/mVdnB4Ed4Z3QQfACH6k+0f7N/KQP7FvKE9whsGf4O
FYG+nKKAxEpU6h9FM+hUAwD/YyxPsY9WGThwYtK1nZaYp61e01Bpx9ZL5UZ0Falp2FPNjq2k6WOS
lqawsAwl46dM1RInvjndwgFFciXZFV+SEFiiaHRabWx24FdG7Zmn1iK7sRHKTkN3iC/GTEOV6x0l
t0QA3A8bGN6zPurpjSb7YXyh2NF+m3tHPvewOa8J5rE0Nav+B2Sv/5BVjnUuWxXCcrBQC+tVOaQ9
esHSLYIi7Du0xXSRGRlJeZ+iVXvMOoM28IQj7yc7cwy1S9uwBgOGCFwce07ZPhw8nKnTqmv2poEw
saqd3hRT9uHGNnqXvgiiRrdoo5q96KQ5Kh6O1lU/DVYtNRzH8C0vEgPW/qq2OqvyylrQXmYN9i3U
8jgMtnE4Zf1daVlOdCYhjtMRCIn3CMxQ9kDrsumKYvCS0+XSAgWDToqTcYxxR8VrUVQ7EkE/cdcC
qZohbrMr12Kp2jJYaLjtk0/NYsvpN3Vb2w3GpaWUKo8EYSxGObl+3QZi8Ql9LbGCR0ZIqwgbjEt2
bSVvoV0N4gHpngleFi5lWOnc5w75zqUki4wNAR8jaaf+xJqWIq0oXMjuoRiBgrZNWNAq3ap0PtSi
GSnPXAu53KWbq69SFrtcAQc9czlMFNhhjeE6Xjq90mx5Ufa4VH2Na+1XszSAEakxAzxkMnpKPBnt
8YzUuLDLEKgdEbaGHI3KMCb2NJLdxe3gPvDDGEqijoIbDsqcKwBH4XJfexKrpTIxiCeGyxFTst28
dipSnEp6Sn7tWlxqF5le08DYpjkiFE+FZsaJkmW1nSOGeHvZDEQTbbYlnJqHpAq2IqqjaFOqpe2x
NvLyXAFixp3FhhLE4TTTfbI4a5Qfu0tnpADV8VlptOGcs/2QXENrwyQ7R9omzbV5Uq0tlIQfaKQU
TT2+9+Us26PUgaTxNCSYE+D9FW3Mvf3MtUO/JSo6dkTIS9Eh4Jxhb2H+Acdg+oljMcYsRSZ7bczM
WlVcElJ3631tVWVLY2iee5+nSTFOklRY4rkWVOhUDAxQB0vwzaB29Rl7MvTgS0SEcYt7GWNYJoPP
WO88ABrSIyDaAPe7F7M1fsBrKR8KyyT1esLgO+ovnbDxOs7r3fBsjNQn+D1HC/2oMy59IwnV8Auo
R3oOQzJwZrr3jIZF3cXUnmDh7J17LaIsWJ9DPy7d5JhzcnrVVH21mHiG4UuQZXeTVZ3LKjqnSe6g
dckeHNulRoY46548g1xrRvrKOs0H73zsOA5rlf5RhT3+QO4f9JNGrdjHU70zacs9ZNhNa7BzsC59
zW1vis5qMEawX3Ew91eqIFyb9JdZ7vIqAX2xZW+GBoacI/KNwl8UA7h4klPCj0OrBCL4msPNgPRj
Re3z1CeSQm5RX2STluLnxFtEdJLpn90DJBdz+tSWVgw/XNjbSA+pHrHoz9iLtr0PXOaLhPGycFc6
Xf/I3QIbQ25WmelrEoQtBmtpnoBHI9I9Kys574nidjuylbgCS4Pj+RWFrOZOCNg7xB/ZHhrRPQGF
fdi2+77VrpAxIKJjiNtkunPvNMEW+7fcloBTMe67Z+YI7A2fN9MO4lbjSSfsAUGn/TwOncXAKc+v
G016O+pibvsMTNzUNz3Ausy+DarqKgrd8xpdHuh2f9ImQXFm1RUn4KBkNzeJi8wCDGlGZejD5sQc
3Ohmfh50sTzRDawNfWmfM9Vwt3YSTxceFLlN2jtUceeMX88tfSRHyOUIRZK32+ugjQ9Qch57nbBc
y75ib7ryaGsYmzS+d0v9MMUtVWzMj5A4ofT13SPz6nzPCGO8t8dwpK5Z0qE9GOO5ETCZiYcUJlJq
YHIkdxcwNMOnBvnYgDprzudFGhfPg6WZu2kQ5lHzIuepcIG3znykgtA7lUa5oxoIyg3+b70J1G0j
MC1K7TYwuvfQmWvCIMp9QnDoDsOAXxhw09ucO+JQJwzlIzAk3HnH4hyTIzcirJkZwRWY1dDabKSm
xlbRliHeeM7fUO771BTgWkkDM5NjNbfM+WAsxfK62xxTo0wIChGnjuKhv2ltMtYKZkgbafquKMFc
W2GQbNmMMe9iUJFWXfoMmO7CsSZo5uENJhyxRyxxHyi/ifdT5rxj9Un3cZx+NLPzBT4YJNsIxaY0
b8x0JKtttKeUVzIfqWvPQtWE3SuDtN9HLeHpJoo+5Y53CfUxvLBcCzJczpV24NB1Tgh+MwzZpbTI
QCez7fiu1nmPiigY7SXXRp2eKsVJfea4xd+LRElpX84Je5ZUTWG95Fea/TTrYsdUdPBTkQYbpJPx
oAVa8wCI+hAZFZb3WWfWw+hgKLPoyyKP2rO9123U04blFk1C0TaZ2BnD9KZ7nAaZ7kzGv5fh5IbP
pnwfyyK7Txd200k4pdS6cei6Dtrc3up9jIjpiGtaS6edYLxH7h/cPADZXUpXO+FldoYEcXrG5j01
22CKj1o7aDedkZqfmUfSYUkoGsxDEOX0hxkkcQMG81YiP4rY6o+Njh1DIM5d4cJvL1nuKS5h7fCe
YV8DUIpIjlLCNtrHKp0NalqoCPU9TZpHt9Pl2dR3weM0xrAVc2buieFEF0PfsedpW/leEfMmA9Ae
uM8+u6CDnlI+NBj+YSMdWk5V27nsLd/lFEXnXTOH2wC0GdMEU9sjOfOk+9wXEzKDtMr0LqSX6tBY
ovVhzMB4IDtlLiJTsgpOaa2Y32bmIkQFoSRx3uCttP1slam6VbIC8FRfpSOMGvym2thtulXVGjyj
fOjnCeqSLm04k3BDEb4EWapPY5MU8c28KGPWKpJVXicToFJkrE/Rf1F1ClvVyRm+TUqdjVVba1ad
zcm4JXBN2U+e02QAkh0l5CZyac0mrxQ6TEVGNiwXAYov3rvZaS6EE8lXpFWwnMYq6rGfqY+SiPqw
UV2vfZlW7S9edcAhriu5JYNcWcQWFpXQWgRDnJuEmJ1FRsznIXfYg0Ws81uUvuqWqrXgwPEaU7+z
KpB9QFxrZEjN8EqrOSZYq2bp6kjkW3BVjPqCcl50zZh+cPIXi94JJQ9rwUAAPj1Wo8QumoaTB3fk
q1TaFuCgx1VCjVY5VaZujNfMNnAzNhpDH5SRQgHzaHP1GrqpTadX5sHa1zHi7s2+4HooE8+AdzEy
XT+pViV3WlXd//yIfRED1G3Lj+5/Ly6d17JSDUPVbk2C/vZf9yXzy/yn3/KnD/TD47b/WB+E2LT/
0r388B/b9XR807836va97TOew6/GoeVbf/dVHulr/nr56nVJDv++/L/7pp8/0H+9f3dqfy17uBo8
P6bzxfdnb7lUtfxwYF+f0vpqfvYI2UsXd/3b+3//L43jNRYbzutLswssQZwZ6xek9YtwHR1w5Fc+
5Xdvyp+97J+/om/v7s/evh+e88tbHlOXjhMxfv2DiYP7r23ef/LS/+Vhvn/p9i+6sCU2O2YYyz9E
i79/B9xfGETAK7G+OqT+/3sHeL5/5Y//5++AYfwi6J/nb4/VavmHV/r9O0BWG5O9wKP1/Uf8Z5f+
/9tr4HclvP/5NUDLrnRITxveH10D1B/xZWnyLvz1d+AvXCj/vI1sojh7W28g8Xv73V3o337Dtzf6
9w/w64dooa4u94cfvnFxBH596N/uL//44fpY737fffHb3XD9Pb/++K8v8Pe/+off9e1Vffs/D/F7
89K8YvZab22/Ps3Ll5zb0M9RBN/dCn94rt9d/j978O1L2/3EwrgwdP/mb7io+vwleynCl2+P9VsD
l8Ms8+8+/l+pk/6bL+GvGD3/5q84j/OqrMpvb8d3bxEj4r/7Fq3P/2fD6b/55PcvffdehN+e6G9P
flmH/u6T/wsdbj99+n/0gfznPub3H9NvS/Ef/diP96DlO16z95fmH/8HAAD//w==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12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447675</xdr:colOff>
      <xdr:row>3</xdr:row>
      <xdr:rowOff>28575</xdr:rowOff>
    </xdr:to>
    <xdr:sp macro="" textlink="">
      <xdr:nvSpPr>
        <xdr:cNvPr id="3" name="Rectangle: Rounded Corners 26">
          <a:extLst>
            <a:ext uri="{FF2B5EF4-FFF2-40B4-BE49-F238E27FC236}">
              <a16:creationId xmlns:a16="http://schemas.microsoft.com/office/drawing/2014/main" id="{67FA05DF-07DA-4AB1-801C-BCC3210F4564}"/>
            </a:ext>
            <a:ext uri="{147F2762-F138-4A5C-976F-8EAC2B608ADB}">
              <a16:predDERef xmlns:a16="http://schemas.microsoft.com/office/drawing/2014/main" pred="{9D714892-D6F1-4FD0-9C0A-8218F5E08444}"/>
            </a:ext>
          </a:extLst>
        </xdr:cNvPr>
        <xdr:cNvSpPr/>
      </xdr:nvSpPr>
      <xdr:spPr>
        <a:xfrm>
          <a:off x="0" y="0"/>
          <a:ext cx="19512915" cy="577215"/>
        </a:xfrm>
        <a:prstGeom prst="roundRect">
          <a:avLst/>
        </a:prstGeom>
        <a:solidFill>
          <a:srgbClr val="002060"/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2800" b="1" cap="all" baseline="0">
              <a:latin typeface="Arial" panose="020B0604020202020204" pitchFamily="34" charset="0"/>
              <a:cs typeface="Arial" panose="020B0604020202020204" pitchFamily="34" charset="0"/>
            </a:rPr>
            <a:t>Bright TV</a:t>
          </a:r>
        </a:p>
      </xdr:txBody>
    </xdr:sp>
    <xdr:clientData/>
  </xdr:twoCellAnchor>
  <xdr:twoCellAnchor>
    <xdr:from>
      <xdr:col>0</xdr:col>
      <xdr:colOff>105454</xdr:colOff>
      <xdr:row>3</xdr:row>
      <xdr:rowOff>144991</xdr:rowOff>
    </xdr:from>
    <xdr:to>
      <xdr:col>11</xdr:col>
      <xdr:colOff>11905</xdr:colOff>
      <xdr:row>5</xdr:row>
      <xdr:rowOff>173210</xdr:rowOff>
    </xdr:to>
    <xdr:sp macro="" textlink="">
      <xdr:nvSpPr>
        <xdr:cNvPr id="4" name="TextBox 29">
          <a:extLst>
            <a:ext uri="{FF2B5EF4-FFF2-40B4-BE49-F238E27FC236}">
              <a16:creationId xmlns:a16="http://schemas.microsoft.com/office/drawing/2014/main" id="{AA873F30-15EA-47AB-8F0D-8421C5B87ADB}"/>
            </a:ext>
          </a:extLst>
        </xdr:cNvPr>
        <xdr:cNvSpPr txBox="1"/>
      </xdr:nvSpPr>
      <xdr:spPr>
        <a:xfrm>
          <a:off x="105454" y="678391"/>
          <a:ext cx="6612051" cy="383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1">
              <a:latin typeface="Arial" panose="020B0604020202020204" pitchFamily="34" charset="0"/>
              <a:cs typeface="Arial" panose="020B0604020202020204" pitchFamily="34" charset="0"/>
            </a:rPr>
            <a:t>Cultural</a:t>
          </a:r>
          <a:r>
            <a:rPr lang="en-US" sz="1300" b="1" baseline="0">
              <a:latin typeface="Arial" panose="020B0604020202020204" pitchFamily="34" charset="0"/>
              <a:cs typeface="Arial" panose="020B0604020202020204" pitchFamily="34" charset="0"/>
            </a:rPr>
            <a:t> Reach (Verified Audience)</a:t>
          </a:r>
          <a:endParaRPr lang="en-US" sz="13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194777</xdr:colOff>
      <xdr:row>3</xdr:row>
      <xdr:rowOff>94794</xdr:rowOff>
    </xdr:from>
    <xdr:to>
      <xdr:col>19</xdr:col>
      <xdr:colOff>273411</xdr:colOff>
      <xdr:row>5</xdr:row>
      <xdr:rowOff>116166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0BDD003-9402-44EF-9B19-4DBF09AB0BD8}"/>
            </a:ext>
            <a:ext uri="{147F2762-F138-4A5C-976F-8EAC2B608ADB}">
              <a16:predDERef xmlns:a16="http://schemas.microsoft.com/office/drawing/2014/main" pred="{BD5ECC32-6748-4C8F-9B3B-43E56D593E3F}"/>
            </a:ext>
          </a:extLst>
        </xdr:cNvPr>
        <xdr:cNvSpPr txBox="1"/>
      </xdr:nvSpPr>
      <xdr:spPr>
        <a:xfrm>
          <a:off x="6290777" y="628194"/>
          <a:ext cx="6517534" cy="376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1">
              <a:latin typeface="Arial" panose="020B0604020202020204" pitchFamily="34" charset="0"/>
              <a:cs typeface="Arial" panose="020B0604020202020204" pitchFamily="34" charset="0"/>
            </a:rPr>
            <a:t>Age</a:t>
          </a:r>
          <a:r>
            <a:rPr lang="en-US" sz="1300" b="1" baseline="0">
              <a:latin typeface="Arial" panose="020B0604020202020204" pitchFamily="34" charset="0"/>
              <a:cs typeface="Arial" panose="020B0604020202020204" pitchFamily="34" charset="0"/>
            </a:rPr>
            <a:t> Group Viewship</a:t>
          </a:r>
          <a:endParaRPr lang="en-US" sz="13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400141</xdr:colOff>
      <xdr:row>25</xdr:row>
      <xdr:rowOff>113159</xdr:rowOff>
    </xdr:from>
    <xdr:to>
      <xdr:col>14</xdr:col>
      <xdr:colOff>355074</xdr:colOff>
      <xdr:row>27</xdr:row>
      <xdr:rowOff>127122</xdr:rowOff>
    </xdr:to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C0EE60F7-E3DA-4AF9-8709-EA4FCC88ECA9}"/>
            </a:ext>
          </a:extLst>
        </xdr:cNvPr>
        <xdr:cNvSpPr txBox="1"/>
      </xdr:nvSpPr>
      <xdr:spPr>
        <a:xfrm>
          <a:off x="6496141" y="4871426"/>
          <a:ext cx="3163800" cy="386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1">
              <a:latin typeface="Arial" panose="020B0604020202020204" pitchFamily="34" charset="0"/>
              <a:cs typeface="Arial" panose="020B0604020202020204" pitchFamily="34" charset="0"/>
            </a:rPr>
            <a:t>Strategic</a:t>
          </a:r>
          <a:r>
            <a:rPr lang="en-US" sz="1300" b="1" baseline="0">
              <a:latin typeface="Arial" panose="020B0604020202020204" pitchFamily="34" charset="0"/>
              <a:cs typeface="Arial" panose="020B0604020202020204" pitchFamily="34" charset="0"/>
            </a:rPr>
            <a:t> Imperative 2: Targeted Acquisition</a:t>
          </a:r>
          <a:endParaRPr lang="en-US" sz="13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142875</xdr:colOff>
      <xdr:row>5</xdr:row>
      <xdr:rowOff>0</xdr:rowOff>
    </xdr:from>
    <xdr:to>
      <xdr:col>14</xdr:col>
      <xdr:colOff>411675</xdr:colOff>
      <xdr:row>18</xdr:row>
      <xdr:rowOff>167325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318446-8998-4F99-BDDC-EED21AF2B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703382</xdr:colOff>
      <xdr:row>24</xdr:row>
      <xdr:rowOff>171450</xdr:rowOff>
    </xdr:from>
    <xdr:to>
      <xdr:col>28</xdr:col>
      <xdr:colOff>441613</xdr:colOff>
      <xdr:row>40</xdr:row>
      <xdr:rowOff>55098</xdr:rowOff>
    </xdr:to>
    <xdr:sp macro="" textlink="">
      <xdr:nvSpPr>
        <xdr:cNvPr id="8" name="Rounded Rectangle 49">
          <a:extLst>
            <a:ext uri="{FF2B5EF4-FFF2-40B4-BE49-F238E27FC236}">
              <a16:creationId xmlns:a16="http://schemas.microsoft.com/office/drawing/2014/main" id="{818892A3-4B54-4F29-AF8D-EEC666C493AB}"/>
            </a:ext>
          </a:extLst>
        </xdr:cNvPr>
        <xdr:cNvSpPr/>
      </xdr:nvSpPr>
      <xdr:spPr>
        <a:xfrm>
          <a:off x="14160302" y="4560570"/>
          <a:ext cx="5346551" cy="2809728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506775</xdr:colOff>
      <xdr:row>25</xdr:row>
      <xdr:rowOff>158593</xdr:rowOff>
    </xdr:from>
    <xdr:to>
      <xdr:col>8</xdr:col>
      <xdr:colOff>201975</xdr:colOff>
      <xdr:row>27</xdr:row>
      <xdr:rowOff>70561</xdr:rowOff>
    </xdr:to>
    <xdr:sp macro="" textlink="">
      <xdr:nvSpPr>
        <xdr:cNvPr id="9" name="TextBox 13">
          <a:extLst>
            <a:ext uri="{FF2B5EF4-FFF2-40B4-BE49-F238E27FC236}">
              <a16:creationId xmlns:a16="http://schemas.microsoft.com/office/drawing/2014/main" id="{935839E9-A803-440D-9694-422F2FD4AE63}"/>
            </a:ext>
          </a:extLst>
        </xdr:cNvPr>
        <xdr:cNvSpPr txBox="1"/>
      </xdr:nvSpPr>
      <xdr:spPr>
        <a:xfrm>
          <a:off x="506775" y="4916860"/>
          <a:ext cx="4572000" cy="284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1" baseline="0">
              <a:latin typeface="Arial" panose="020B0604020202020204" pitchFamily="34" charset="0"/>
              <a:cs typeface="Arial" panose="020B0604020202020204" pitchFamily="34" charset="0"/>
            </a:rPr>
            <a:t>Geographical Concentration (Top 3 Countries with high Subscribtion)</a:t>
          </a:r>
        </a:p>
      </xdr:txBody>
    </xdr:sp>
    <xdr:clientData/>
  </xdr:twoCellAnchor>
  <xdr:oneCellAnchor>
    <xdr:from>
      <xdr:col>22</xdr:col>
      <xdr:colOff>0</xdr:colOff>
      <xdr:row>31</xdr:row>
      <xdr:rowOff>0</xdr:rowOff>
    </xdr:from>
    <xdr:ext cx="433773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600ABC9-97F4-422C-A5D2-1D7CA2CA4BDB}"/>
            </a:ext>
          </a:extLst>
        </xdr:cNvPr>
        <xdr:cNvSpPr txBox="1"/>
      </xdr:nvSpPr>
      <xdr:spPr>
        <a:xfrm>
          <a:off x="15118080" y="5669280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ZA" sz="1100" b="1">
              <a:solidFill>
                <a:schemeClr val="bg1"/>
              </a:solidFill>
            </a:rPr>
            <a:t>10%</a:t>
          </a:r>
        </a:p>
      </xdr:txBody>
    </xdr:sp>
    <xdr:clientData/>
  </xdr:oneCellAnchor>
  <xdr:twoCellAnchor>
    <xdr:from>
      <xdr:col>11</xdr:col>
      <xdr:colOff>13354</xdr:colOff>
      <xdr:row>3</xdr:row>
      <xdr:rowOff>61780</xdr:rowOff>
    </xdr:from>
    <xdr:to>
      <xdr:col>19</xdr:col>
      <xdr:colOff>121971</xdr:colOff>
      <xdr:row>25</xdr:row>
      <xdr:rowOff>42809</xdr:rowOff>
    </xdr:to>
    <xdr:sp macro="" textlink="">
      <xdr:nvSpPr>
        <xdr:cNvPr id="11" name="Rounded Rectangle 49">
          <a:extLst>
            <a:ext uri="{FF2B5EF4-FFF2-40B4-BE49-F238E27FC236}">
              <a16:creationId xmlns:a16="http://schemas.microsoft.com/office/drawing/2014/main" id="{35AFF350-F8D9-4E47-BC75-7F00A49E119B}"/>
            </a:ext>
          </a:extLst>
        </xdr:cNvPr>
        <xdr:cNvSpPr/>
      </xdr:nvSpPr>
      <xdr:spPr>
        <a:xfrm>
          <a:off x="6718954" y="610420"/>
          <a:ext cx="5937917" cy="4004389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43179</xdr:colOff>
      <xdr:row>3</xdr:row>
      <xdr:rowOff>66040</xdr:rowOff>
    </xdr:from>
    <xdr:to>
      <xdr:col>10</xdr:col>
      <xdr:colOff>559593</xdr:colOff>
      <xdr:row>24</xdr:row>
      <xdr:rowOff>145551</xdr:rowOff>
    </xdr:to>
    <xdr:sp macro="" textlink="">
      <xdr:nvSpPr>
        <xdr:cNvPr id="12" name="Rounded Rectangle 49">
          <a:extLst>
            <a:ext uri="{FF2B5EF4-FFF2-40B4-BE49-F238E27FC236}">
              <a16:creationId xmlns:a16="http://schemas.microsoft.com/office/drawing/2014/main" id="{0C5F6355-6C31-4A6F-BE62-ACC2AECB0A90}"/>
            </a:ext>
          </a:extLst>
        </xdr:cNvPr>
        <xdr:cNvSpPr/>
      </xdr:nvSpPr>
      <xdr:spPr>
        <a:xfrm>
          <a:off x="43179" y="614680"/>
          <a:ext cx="6612414" cy="3919991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507945</xdr:colOff>
      <xdr:row>25</xdr:row>
      <xdr:rowOff>66048</xdr:rowOff>
    </xdr:from>
    <xdr:to>
      <xdr:col>15</xdr:col>
      <xdr:colOff>141599</xdr:colOff>
      <xdr:row>40</xdr:row>
      <xdr:rowOff>85725</xdr:rowOff>
    </xdr:to>
    <xdr:sp macro="" textlink="">
      <xdr:nvSpPr>
        <xdr:cNvPr id="14" name="Rounded Rectangle 49">
          <a:extLst>
            <a:ext uri="{FF2B5EF4-FFF2-40B4-BE49-F238E27FC236}">
              <a16:creationId xmlns:a16="http://schemas.microsoft.com/office/drawing/2014/main" id="{4A7C74C0-5EB4-45DD-BFD5-ECFCA8EFA604}"/>
            </a:ext>
            <a:ext uri="{147F2762-F138-4A5C-976F-8EAC2B608ADB}">
              <a16:predDERef xmlns:a16="http://schemas.microsoft.com/office/drawing/2014/main" pred="{9C9090B2-7C2B-4488-89EC-E7FCFD20AA91}"/>
            </a:ext>
          </a:extLst>
        </xdr:cNvPr>
        <xdr:cNvSpPr/>
      </xdr:nvSpPr>
      <xdr:spPr>
        <a:xfrm>
          <a:off x="5994345" y="4638048"/>
          <a:ext cx="4060874" cy="2762877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66676</xdr:colOff>
      <xdr:row>25</xdr:row>
      <xdr:rowOff>9526</xdr:rowOff>
    </xdr:from>
    <xdr:to>
      <xdr:col>9</xdr:col>
      <xdr:colOff>469344</xdr:colOff>
      <xdr:row>40</xdr:row>
      <xdr:rowOff>171451</xdr:rowOff>
    </xdr:to>
    <xdr:sp macro="" textlink="">
      <xdr:nvSpPr>
        <xdr:cNvPr id="15" name="Rounded Rectangle 49">
          <a:extLst>
            <a:ext uri="{FF2B5EF4-FFF2-40B4-BE49-F238E27FC236}">
              <a16:creationId xmlns:a16="http://schemas.microsoft.com/office/drawing/2014/main" id="{827F2590-203F-43C1-9E8C-A05414F82826}"/>
            </a:ext>
            <a:ext uri="{147F2762-F138-4A5C-976F-8EAC2B608ADB}">
              <a16:predDERef xmlns:a16="http://schemas.microsoft.com/office/drawing/2014/main" pred="{9C9090B2-7C2B-4488-89EC-E7FCFD20AA91}"/>
            </a:ext>
          </a:extLst>
        </xdr:cNvPr>
        <xdr:cNvSpPr/>
      </xdr:nvSpPr>
      <xdr:spPr>
        <a:xfrm>
          <a:off x="66676" y="4581526"/>
          <a:ext cx="5889068" cy="2905125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17</xdr:col>
      <xdr:colOff>229689</xdr:colOff>
      <xdr:row>24</xdr:row>
      <xdr:rowOff>149134</xdr:rowOff>
    </xdr:from>
    <xdr:to>
      <xdr:col>18</xdr:col>
      <xdr:colOff>161109</xdr:colOff>
      <xdr:row>26</xdr:row>
      <xdr:rowOff>11973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CFA19E6-1AA7-472B-81D7-2AF2C84BA295}"/>
            </a:ext>
          </a:extLst>
        </xdr:cNvPr>
        <xdr:cNvSpPr txBox="1"/>
      </xdr:nvSpPr>
      <xdr:spPr>
        <a:xfrm>
          <a:off x="11362509" y="4538254"/>
          <a:ext cx="541020" cy="22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050" b="1">
              <a:solidFill>
                <a:schemeClr val="bg1"/>
              </a:solidFill>
            </a:rPr>
            <a:t>55%</a:t>
          </a:r>
        </a:p>
      </xdr:txBody>
    </xdr:sp>
    <xdr:clientData/>
  </xdr:twoCellAnchor>
  <xdr:twoCellAnchor>
    <xdr:from>
      <xdr:col>17</xdr:col>
      <xdr:colOff>337457</xdr:colOff>
      <xdr:row>31</xdr:row>
      <xdr:rowOff>32657</xdr:rowOff>
    </xdr:from>
    <xdr:to>
      <xdr:col>18</xdr:col>
      <xdr:colOff>231857</xdr:colOff>
      <xdr:row>32</xdr:row>
      <xdr:rowOff>65777</xdr:rowOff>
    </xdr:to>
    <xdr:sp macro="" textlink="">
      <xdr:nvSpPr>
        <xdr:cNvPr id="17" name="TextBox 6">
          <a:extLst>
            <a:ext uri="{FF2B5EF4-FFF2-40B4-BE49-F238E27FC236}">
              <a16:creationId xmlns:a16="http://schemas.microsoft.com/office/drawing/2014/main" id="{CAF22102-B389-40BE-B92F-1F9D5667414F}"/>
            </a:ext>
          </a:extLst>
        </xdr:cNvPr>
        <xdr:cNvSpPr txBox="1"/>
      </xdr:nvSpPr>
      <xdr:spPr>
        <a:xfrm>
          <a:off x="11470277" y="5701937"/>
          <a:ext cx="50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050" b="1">
              <a:solidFill>
                <a:schemeClr val="bg1"/>
              </a:solidFill>
            </a:rPr>
            <a:t>%</a:t>
          </a:r>
        </a:p>
      </xdr:txBody>
    </xdr:sp>
    <xdr:clientData/>
  </xdr:twoCellAnchor>
  <xdr:twoCellAnchor>
    <xdr:from>
      <xdr:col>19</xdr:col>
      <xdr:colOff>276225</xdr:colOff>
      <xdr:row>26</xdr:row>
      <xdr:rowOff>135467</xdr:rowOff>
    </xdr:from>
    <xdr:to>
      <xdr:col>20</xdr:col>
      <xdr:colOff>149225</xdr:colOff>
      <xdr:row>28</xdr:row>
      <xdr:rowOff>42334</xdr:rowOff>
    </xdr:to>
    <xdr:sp macro="" textlink="">
      <xdr:nvSpPr>
        <xdr:cNvPr id="19" name="TextBox 9">
          <a:extLst>
            <a:ext uri="{FF2B5EF4-FFF2-40B4-BE49-F238E27FC236}">
              <a16:creationId xmlns:a16="http://schemas.microsoft.com/office/drawing/2014/main" id="{4F504267-BED8-4302-BC5B-E51B30BDE687}"/>
            </a:ext>
          </a:extLst>
        </xdr:cNvPr>
        <xdr:cNvSpPr txBox="1"/>
      </xdr:nvSpPr>
      <xdr:spPr>
        <a:xfrm>
          <a:off x="12811125" y="4890347"/>
          <a:ext cx="795020" cy="272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>
              <a:solidFill>
                <a:schemeClr val="bg1"/>
              </a:solidFill>
            </a:rPr>
            <a:t>75%</a:t>
          </a:r>
        </a:p>
      </xdr:txBody>
    </xdr:sp>
    <xdr:clientData/>
  </xdr:twoCellAnchor>
  <xdr:twoCellAnchor>
    <xdr:from>
      <xdr:col>20</xdr:col>
      <xdr:colOff>285750</xdr:colOff>
      <xdr:row>26</xdr:row>
      <xdr:rowOff>142874</xdr:rowOff>
    </xdr:from>
    <xdr:to>
      <xdr:col>21</xdr:col>
      <xdr:colOff>400050</xdr:colOff>
      <xdr:row>28</xdr:row>
      <xdr:rowOff>114299</xdr:rowOff>
    </xdr:to>
    <xdr:sp macro="" textlink="">
      <xdr:nvSpPr>
        <xdr:cNvPr id="20" name="TextBox 18">
          <a:extLst>
            <a:ext uri="{FF2B5EF4-FFF2-40B4-BE49-F238E27FC236}">
              <a16:creationId xmlns:a16="http://schemas.microsoft.com/office/drawing/2014/main" id="{9491E2C0-7FDE-4D1A-B16E-B20788542563}"/>
            </a:ext>
          </a:extLst>
        </xdr:cNvPr>
        <xdr:cNvSpPr txBox="1"/>
      </xdr:nvSpPr>
      <xdr:spPr>
        <a:xfrm>
          <a:off x="13742670" y="4897754"/>
          <a:ext cx="906780" cy="337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 kern="1200">
              <a:solidFill>
                <a:schemeClr val="bg1"/>
              </a:solidFill>
            </a:rPr>
            <a:t>75%</a:t>
          </a:r>
        </a:p>
      </xdr:txBody>
    </xdr:sp>
    <xdr:clientData/>
  </xdr:twoCellAnchor>
  <xdr:twoCellAnchor>
    <xdr:from>
      <xdr:col>18</xdr:col>
      <xdr:colOff>104775</xdr:colOff>
      <xdr:row>31</xdr:row>
      <xdr:rowOff>47625</xdr:rowOff>
    </xdr:from>
    <xdr:to>
      <xdr:col>19</xdr:col>
      <xdr:colOff>54225</xdr:colOff>
      <xdr:row>32</xdr:row>
      <xdr:rowOff>181125</xdr:rowOff>
    </xdr:to>
    <xdr:sp macro="" textlink="">
      <xdr:nvSpPr>
        <xdr:cNvPr id="21" name="TextBox 19">
          <a:extLst>
            <a:ext uri="{FF2B5EF4-FFF2-40B4-BE49-F238E27FC236}">
              <a16:creationId xmlns:a16="http://schemas.microsoft.com/office/drawing/2014/main" id="{F375248B-B2AF-4CB9-A748-B649FF12CD50}"/>
            </a:ext>
          </a:extLst>
        </xdr:cNvPr>
        <xdr:cNvSpPr txBox="1"/>
      </xdr:nvSpPr>
      <xdr:spPr>
        <a:xfrm>
          <a:off x="11847195" y="5716905"/>
          <a:ext cx="741930" cy="316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900" b="1" kern="1200">
              <a:solidFill>
                <a:schemeClr val="bg1"/>
              </a:solidFill>
            </a:rPr>
            <a:t>25%</a:t>
          </a:r>
        </a:p>
      </xdr:txBody>
    </xdr:sp>
    <xdr:clientData/>
  </xdr:twoCellAnchor>
  <xdr:twoCellAnchor>
    <xdr:from>
      <xdr:col>5</xdr:col>
      <xdr:colOff>569494</xdr:colOff>
      <xdr:row>9</xdr:row>
      <xdr:rowOff>151036</xdr:rowOff>
    </xdr:from>
    <xdr:to>
      <xdr:col>11</xdr:col>
      <xdr:colOff>184213</xdr:colOff>
      <xdr:row>24</xdr:row>
      <xdr:rowOff>97525</xdr:rowOff>
    </xdr:to>
    <xdr:graphicFrame macro="">
      <xdr:nvGraphicFramePr>
        <xdr:cNvPr id="23" name="Chart 28">
          <a:extLst>
            <a:ext uri="{FF2B5EF4-FFF2-40B4-BE49-F238E27FC236}">
              <a16:creationId xmlns:a16="http://schemas.microsoft.com/office/drawing/2014/main" id="{C3A9C76B-FF0B-4741-8639-EC08114B6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186637</xdr:colOff>
      <xdr:row>25</xdr:row>
      <xdr:rowOff>148116</xdr:rowOff>
    </xdr:from>
    <xdr:to>
      <xdr:col>20</xdr:col>
      <xdr:colOff>765641</xdr:colOff>
      <xdr:row>27</xdr:row>
      <xdr:rowOff>160173</xdr:rowOff>
    </xdr:to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FC3B40EE-316E-42DC-A996-67E56740C067}"/>
            </a:ext>
          </a:extLst>
        </xdr:cNvPr>
        <xdr:cNvSpPr txBox="1"/>
      </xdr:nvSpPr>
      <xdr:spPr>
        <a:xfrm>
          <a:off x="10101104" y="4906383"/>
          <a:ext cx="4126537" cy="384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1">
              <a:latin typeface="Arial" panose="020B0604020202020204" pitchFamily="34" charset="0"/>
              <a:cs typeface="Arial" panose="020B0604020202020204" pitchFamily="34" charset="0"/>
            </a:rPr>
            <a:t>Demographic</a:t>
          </a:r>
          <a:r>
            <a:rPr lang="en-US" sz="1300" b="1" baseline="0">
              <a:latin typeface="Arial" panose="020B0604020202020204" pitchFamily="34" charset="0"/>
              <a:cs typeface="Arial" panose="020B0604020202020204" pitchFamily="34" charset="0"/>
            </a:rPr>
            <a:t> Radar</a:t>
          </a:r>
          <a:endParaRPr lang="en-US" sz="13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170024</xdr:colOff>
      <xdr:row>25</xdr:row>
      <xdr:rowOff>65692</xdr:rowOff>
    </xdr:from>
    <xdr:to>
      <xdr:col>20</xdr:col>
      <xdr:colOff>676851</xdr:colOff>
      <xdr:row>40</xdr:row>
      <xdr:rowOff>57150</xdr:rowOff>
    </xdr:to>
    <xdr:sp macro="" textlink="">
      <xdr:nvSpPr>
        <xdr:cNvPr id="29" name="Rounded Rectangle 49">
          <a:extLst>
            <a:ext uri="{FF2B5EF4-FFF2-40B4-BE49-F238E27FC236}">
              <a16:creationId xmlns:a16="http://schemas.microsoft.com/office/drawing/2014/main" id="{C4D2F50D-3BCA-4150-9B8E-56F8CC7A6218}"/>
            </a:ext>
            <a:ext uri="{147F2762-F138-4A5C-976F-8EAC2B608ADB}">
              <a16:predDERef xmlns:a16="http://schemas.microsoft.com/office/drawing/2014/main" pred="{9C9090B2-7C2B-4488-89EC-E7FCFD20AA91}"/>
            </a:ext>
          </a:extLst>
        </xdr:cNvPr>
        <xdr:cNvSpPr/>
      </xdr:nvSpPr>
      <xdr:spPr>
        <a:xfrm>
          <a:off x="10083644" y="4637692"/>
          <a:ext cx="4050127" cy="2734658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19</xdr:col>
      <xdr:colOff>170831</xdr:colOff>
      <xdr:row>3</xdr:row>
      <xdr:rowOff>104882</xdr:rowOff>
    </xdr:from>
    <xdr:to>
      <xdr:col>28</xdr:col>
      <xdr:colOff>484272</xdr:colOff>
      <xdr:row>24</xdr:row>
      <xdr:rowOff>128427</xdr:rowOff>
    </xdr:to>
    <xdr:sp macro="" textlink="">
      <xdr:nvSpPr>
        <xdr:cNvPr id="30" name="Rounded Rectangle 49">
          <a:extLst>
            <a:ext uri="{FF2B5EF4-FFF2-40B4-BE49-F238E27FC236}">
              <a16:creationId xmlns:a16="http://schemas.microsoft.com/office/drawing/2014/main" id="{DF780866-7CA0-4BC7-B17B-1EE0C0629CD0}"/>
            </a:ext>
            <a:ext uri="{147F2762-F138-4A5C-976F-8EAC2B608ADB}">
              <a16:predDERef xmlns:a16="http://schemas.microsoft.com/office/drawing/2014/main" pred="{9C9090B2-7C2B-4488-89EC-E7FCFD20AA91}"/>
            </a:ext>
          </a:extLst>
        </xdr:cNvPr>
        <xdr:cNvSpPr/>
      </xdr:nvSpPr>
      <xdr:spPr>
        <a:xfrm>
          <a:off x="12705731" y="653522"/>
          <a:ext cx="6843781" cy="3864025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18</xdr:col>
      <xdr:colOff>622466</xdr:colOff>
      <xdr:row>3</xdr:row>
      <xdr:rowOff>139393</xdr:rowOff>
    </xdr:from>
    <xdr:to>
      <xdr:col>29</xdr:col>
      <xdr:colOff>277854</xdr:colOff>
      <xdr:row>5</xdr:row>
      <xdr:rowOff>59272</xdr:rowOff>
    </xdr:to>
    <xdr:sp macro="" textlink="">
      <xdr:nvSpPr>
        <xdr:cNvPr id="31" name="TextBox 13">
          <a:extLst>
            <a:ext uri="{FF2B5EF4-FFF2-40B4-BE49-F238E27FC236}">
              <a16:creationId xmlns:a16="http://schemas.microsoft.com/office/drawing/2014/main" id="{EAFB3308-8030-42F0-AF26-54C919DDF2B2}"/>
            </a:ext>
          </a:extLst>
        </xdr:cNvPr>
        <xdr:cNvSpPr txBox="1"/>
      </xdr:nvSpPr>
      <xdr:spPr>
        <a:xfrm>
          <a:off x="12365733" y="698193"/>
          <a:ext cx="10958388" cy="292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1" baseline="0">
              <a:latin typeface="Arial" panose="020B0604020202020204" pitchFamily="34" charset="0"/>
              <a:cs typeface="Arial" panose="020B0604020202020204" pitchFamily="34" charset="0"/>
            </a:rPr>
            <a:t>Cross-Sectional Analysis: Age vs Location</a:t>
          </a:r>
        </a:p>
      </xdr:txBody>
    </xdr:sp>
    <xdr:clientData/>
  </xdr:twoCellAnchor>
  <xdr:twoCellAnchor>
    <xdr:from>
      <xdr:col>21</xdr:col>
      <xdr:colOff>381000</xdr:colOff>
      <xdr:row>25</xdr:row>
      <xdr:rowOff>28575</xdr:rowOff>
    </xdr:from>
    <xdr:to>
      <xdr:col>28</xdr:col>
      <xdr:colOff>130888</xdr:colOff>
      <xdr:row>26</xdr:row>
      <xdr:rowOff>125633</xdr:rowOff>
    </xdr:to>
    <xdr:sp macro="" textlink="">
      <xdr:nvSpPr>
        <xdr:cNvPr id="41" name="TextBox 13">
          <a:extLst>
            <a:ext uri="{FF2B5EF4-FFF2-40B4-BE49-F238E27FC236}">
              <a16:creationId xmlns:a16="http://schemas.microsoft.com/office/drawing/2014/main" id="{ACC86730-4B5D-4285-9822-23B5FCFB7F0C}"/>
            </a:ext>
          </a:extLst>
        </xdr:cNvPr>
        <xdr:cNvSpPr txBox="1"/>
      </xdr:nvSpPr>
      <xdr:spPr>
        <a:xfrm>
          <a:off x="14630400" y="4600575"/>
          <a:ext cx="4565728" cy="279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1" baseline="0">
              <a:latin typeface="Arial" panose="020B0604020202020204" pitchFamily="34" charset="0"/>
              <a:cs typeface="Arial" panose="020B0604020202020204" pitchFamily="34" charset="0"/>
            </a:rPr>
            <a:t>Synthesis: The Engagement Lifecycle</a:t>
          </a:r>
        </a:p>
      </xdr:txBody>
    </xdr:sp>
    <xdr:clientData/>
  </xdr:twoCellAnchor>
  <xdr:twoCellAnchor>
    <xdr:from>
      <xdr:col>0</xdr:col>
      <xdr:colOff>129540</xdr:colOff>
      <xdr:row>5</xdr:row>
      <xdr:rowOff>15240</xdr:rowOff>
    </xdr:from>
    <xdr:to>
      <xdr:col>8</xdr:col>
      <xdr:colOff>312420</xdr:colOff>
      <xdr:row>22</xdr:row>
      <xdr:rowOff>175260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DAB4890F-9085-4E3B-AC41-61F6FF4D9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419100</xdr:colOff>
      <xdr:row>11</xdr:row>
      <xdr:rowOff>175260</xdr:rowOff>
    </xdr:from>
    <xdr:to>
      <xdr:col>10</xdr:col>
      <xdr:colOff>198120</xdr:colOff>
      <xdr:row>23</xdr:row>
      <xdr:rowOff>170180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39479208-3FB8-4531-8BC9-AD4E3CD07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152400</xdr:colOff>
      <xdr:row>5</xdr:row>
      <xdr:rowOff>15240</xdr:rowOff>
    </xdr:from>
    <xdr:to>
      <xdr:col>18</xdr:col>
      <xdr:colOff>312420</xdr:colOff>
      <xdr:row>14</xdr:row>
      <xdr:rowOff>160020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E2054CA0-CAF9-4989-A06B-A0352BD2F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336127</xdr:colOff>
      <xdr:row>14</xdr:row>
      <xdr:rowOff>120227</xdr:rowOff>
    </xdr:from>
    <xdr:to>
      <xdr:col>18</xdr:col>
      <xdr:colOff>511387</xdr:colOff>
      <xdr:row>24</xdr:row>
      <xdr:rowOff>177800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44568B63-D067-4A70-893B-8D4DA8834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26</xdr:row>
      <xdr:rowOff>33866</xdr:rowOff>
    </xdr:from>
    <xdr:to>
      <xdr:col>7</xdr:col>
      <xdr:colOff>270932</xdr:colOff>
      <xdr:row>41</xdr:row>
      <xdr:rowOff>36829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0" name="Chart 59">
              <a:extLst>
                <a:ext uri="{FF2B5EF4-FFF2-40B4-BE49-F238E27FC236}">
                  <a16:creationId xmlns:a16="http://schemas.microsoft.com/office/drawing/2014/main" id="{C34D7F43-B33E-4FC8-AE42-7851EE7264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978399"/>
              <a:ext cx="4538132" cy="2796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245533</xdr:colOff>
      <xdr:row>26</xdr:row>
      <xdr:rowOff>126999</xdr:rowOff>
    </xdr:from>
    <xdr:to>
      <xdr:col>15</xdr:col>
      <xdr:colOff>313266</xdr:colOff>
      <xdr:row>40</xdr:row>
      <xdr:rowOff>2962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1" name="Chart 60">
              <a:extLst>
                <a:ext uri="{FF2B5EF4-FFF2-40B4-BE49-F238E27FC236}">
                  <a16:creationId xmlns:a16="http://schemas.microsoft.com/office/drawing/2014/main" id="{A8D58E85-734A-4C2C-AF8E-546C72AC88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1933" y="5071532"/>
              <a:ext cx="4495800" cy="24836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67733</xdr:colOff>
      <xdr:row>34</xdr:row>
      <xdr:rowOff>50800</xdr:rowOff>
    </xdr:from>
    <xdr:to>
      <xdr:col>9</xdr:col>
      <xdr:colOff>414866</xdr:colOff>
      <xdr:row>38</xdr:row>
      <xdr:rowOff>58421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5818610-909C-B1C1-7069-8CCB825D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3" y="6485467"/>
          <a:ext cx="2175933" cy="752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516467</xdr:colOff>
      <xdr:row>31</xdr:row>
      <xdr:rowOff>177800</xdr:rowOff>
    </xdr:from>
    <xdr:to>
      <xdr:col>12</xdr:col>
      <xdr:colOff>1007533</xdr:colOff>
      <xdr:row>37</xdr:row>
      <xdr:rowOff>118533</xdr:rowOff>
    </xdr:to>
    <xdr:cxnSp macro="">
      <xdr:nvCxnSpPr>
        <xdr:cNvPr id="68" name="Connector: Curved 67">
          <a:extLst>
            <a:ext uri="{FF2B5EF4-FFF2-40B4-BE49-F238E27FC236}">
              <a16:creationId xmlns:a16="http://schemas.microsoft.com/office/drawing/2014/main" id="{73F9DB64-7515-1DC7-CE55-E675EE2F20DF}"/>
            </a:ext>
          </a:extLst>
        </xdr:cNvPr>
        <xdr:cNvCxnSpPr/>
      </xdr:nvCxnSpPr>
      <xdr:spPr>
        <a:xfrm flipV="1">
          <a:off x="7222067" y="6053667"/>
          <a:ext cx="1100666" cy="1058333"/>
        </a:xfrm>
        <a:prstGeom prst="curvedConnector3">
          <a:avLst>
            <a:gd name="adj1" fmla="val 2846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948268</xdr:colOff>
      <xdr:row>32</xdr:row>
      <xdr:rowOff>1</xdr:rowOff>
    </xdr:from>
    <xdr:to>
      <xdr:col>13</xdr:col>
      <xdr:colOff>152401</xdr:colOff>
      <xdr:row>33</xdr:row>
      <xdr:rowOff>177799</xdr:rowOff>
    </xdr:to>
    <xdr:cxnSp macro="">
      <xdr:nvCxnSpPr>
        <xdr:cNvPr id="69" name="Connector: Curved 68">
          <a:extLst>
            <a:ext uri="{FF2B5EF4-FFF2-40B4-BE49-F238E27FC236}">
              <a16:creationId xmlns:a16="http://schemas.microsoft.com/office/drawing/2014/main" id="{F6E253CF-0869-46DC-B41B-4ED2F9BEE46D}"/>
            </a:ext>
          </a:extLst>
        </xdr:cNvPr>
        <xdr:cNvCxnSpPr/>
      </xdr:nvCxnSpPr>
      <xdr:spPr>
        <a:xfrm rot="5400000">
          <a:off x="8199968" y="6125634"/>
          <a:ext cx="364065" cy="237066"/>
        </a:xfrm>
        <a:prstGeom prst="curvedConnector3">
          <a:avLst>
            <a:gd name="adj1" fmla="val 2674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118534</xdr:colOff>
      <xdr:row>31</xdr:row>
      <xdr:rowOff>127003</xdr:rowOff>
    </xdr:from>
    <xdr:to>
      <xdr:col>13</xdr:col>
      <xdr:colOff>846667</xdr:colOff>
      <xdr:row>31</xdr:row>
      <xdr:rowOff>143933</xdr:rowOff>
    </xdr:to>
    <xdr:cxnSp macro="">
      <xdr:nvCxnSpPr>
        <xdr:cNvPr id="74" name="Connector: Curved 73">
          <a:extLst>
            <a:ext uri="{FF2B5EF4-FFF2-40B4-BE49-F238E27FC236}">
              <a16:creationId xmlns:a16="http://schemas.microsoft.com/office/drawing/2014/main" id="{06EC78CC-BF4E-40F7-8F26-219C6E6D8262}"/>
            </a:ext>
          </a:extLst>
        </xdr:cNvPr>
        <xdr:cNvCxnSpPr/>
      </xdr:nvCxnSpPr>
      <xdr:spPr>
        <a:xfrm>
          <a:off x="8466667" y="6002870"/>
          <a:ext cx="728133" cy="16930"/>
        </a:xfrm>
        <a:prstGeom prst="curvedConnector3">
          <a:avLst>
            <a:gd name="adj1" fmla="val 5348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76199</xdr:colOff>
      <xdr:row>35</xdr:row>
      <xdr:rowOff>16934</xdr:rowOff>
    </xdr:from>
    <xdr:to>
      <xdr:col>13</xdr:col>
      <xdr:colOff>389467</xdr:colOff>
      <xdr:row>38</xdr:row>
      <xdr:rowOff>84665</xdr:rowOff>
    </xdr:to>
    <xdr:cxnSp macro="">
      <xdr:nvCxnSpPr>
        <xdr:cNvPr id="80" name="Connector: Curved 79">
          <a:extLst>
            <a:ext uri="{FF2B5EF4-FFF2-40B4-BE49-F238E27FC236}">
              <a16:creationId xmlns:a16="http://schemas.microsoft.com/office/drawing/2014/main" id="{0BC495BE-CB1C-4438-BE6B-E762800C52C9}"/>
            </a:ext>
          </a:extLst>
        </xdr:cNvPr>
        <xdr:cNvCxnSpPr/>
      </xdr:nvCxnSpPr>
      <xdr:spPr>
        <a:xfrm flipV="1">
          <a:off x="7391399" y="6637867"/>
          <a:ext cx="1346201" cy="626531"/>
        </a:xfrm>
        <a:prstGeom prst="curvedConnector3">
          <a:avLst>
            <a:gd name="adj1" fmla="val 6572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211666</xdr:colOff>
      <xdr:row>27</xdr:row>
      <xdr:rowOff>67733</xdr:rowOff>
    </xdr:from>
    <xdr:to>
      <xdr:col>18</xdr:col>
      <xdr:colOff>421876</xdr:colOff>
      <xdr:row>35</xdr:row>
      <xdr:rowOff>110066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72DBFA3-11BA-D2F4-C6CC-9D217E2F3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8" t="11387" r="2033" b="2260"/>
        <a:stretch>
          <a:fillRect/>
        </a:stretch>
      </xdr:blipFill>
      <xdr:spPr>
        <a:xfrm>
          <a:off x="10126133" y="5198533"/>
          <a:ext cx="2039010" cy="1532466"/>
        </a:xfrm>
        <a:prstGeom prst="rect">
          <a:avLst/>
        </a:prstGeom>
      </xdr:spPr>
    </xdr:pic>
    <xdr:clientData/>
  </xdr:twoCellAnchor>
  <xdr:twoCellAnchor editAs="oneCell">
    <xdr:from>
      <xdr:col>18</xdr:col>
      <xdr:colOff>382967</xdr:colOff>
      <xdr:row>27</xdr:row>
      <xdr:rowOff>105089</xdr:rowOff>
    </xdr:from>
    <xdr:to>
      <xdr:col>20</xdr:col>
      <xdr:colOff>634999</xdr:colOff>
      <xdr:row>35</xdr:row>
      <xdr:rowOff>25402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8CBB5C3-B0DD-EE0D-0AA8-A94EBD0CA2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5" t="11753" r="2182" b="1862"/>
        <a:stretch>
          <a:fillRect/>
        </a:stretch>
      </xdr:blipFill>
      <xdr:spPr>
        <a:xfrm>
          <a:off x="12126234" y="5235889"/>
          <a:ext cx="1970765" cy="1410446"/>
        </a:xfrm>
        <a:prstGeom prst="rect">
          <a:avLst/>
        </a:prstGeom>
      </xdr:spPr>
    </xdr:pic>
    <xdr:clientData/>
  </xdr:twoCellAnchor>
  <xdr:twoCellAnchor editAs="oneCell">
    <xdr:from>
      <xdr:col>21</xdr:col>
      <xdr:colOff>101599</xdr:colOff>
      <xdr:row>28</xdr:row>
      <xdr:rowOff>33866</xdr:rowOff>
    </xdr:from>
    <xdr:to>
      <xdr:col>26</xdr:col>
      <xdr:colOff>541866</xdr:colOff>
      <xdr:row>39</xdr:row>
      <xdr:rowOff>169334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4CE564A-DE1A-BBBD-FF16-3814DC8AB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360"/>
        <a:stretch>
          <a:fillRect/>
        </a:stretch>
      </xdr:blipFill>
      <xdr:spPr>
        <a:xfrm>
          <a:off x="15121466" y="5350933"/>
          <a:ext cx="6637867" cy="21844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iovacza.sharepoint.com/sites/ProcurementTeam/Shared%20Documents/General/#02 KRA's and KPI's/Internal Proc Team/Presentations/Dashboard Procurement.xlsx" TargetMode="External"/><Relationship Id="rId1" Type="http://schemas.openxmlformats.org/officeDocument/2006/relationships/externalLinkPath" Target="https://biovacza.sharepoint.com/sites/ProcurementTeam/Shared%20Documents/General/#02 KRA's and KPI's/Internal Proc Team/Presentations/Dashboard Procur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itumeloS\Downloads\Viewership%20(3).csv" TargetMode="External"/><Relationship Id="rId1" Type="http://schemas.openxmlformats.org/officeDocument/2006/relationships/externalLinkPath" Target="file:///C:\Users\BoitumeloS\Downloads\Viewership%20(3)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itumeloS\Downloads\User_Profile%20(2).csv" TargetMode="External"/><Relationship Id="rId1" Type="http://schemas.openxmlformats.org/officeDocument/2006/relationships/externalLinkPath" Target="file:///C:\Users\BoitumeloS\Downloads\User_Profile%20(2)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itumeloS\Downloads\User_Profile%20(1).csv" TargetMode="External"/><Relationship Id="rId1" Type="http://schemas.openxmlformats.org/officeDocument/2006/relationships/externalLinkPath" Target="file:///C:\Users\BoitumeloS\Downloads\User_Profile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ZVo60YeeCkWkM83cJpDNgUOqHEDHBwhHr0LOGU7qcElOiE5zXKX6QZY1p2LVvCPL" itemId="01VTX3XA7ZAOGASK4TCRHYHXXLPFWNJG7Z">
      <xxl21:absoluteUrl r:id="rId2"/>
    </xxl21:alternateUrls>
    <sheetNames>
      <sheetName val="Procurement Dashboard 2025"/>
      <sheetName val="Procurement Dashboard 2024"/>
      <sheetName val="Dashboard 2.0 (DO NOT TOUCH)"/>
      <sheetName val="Procurement Dashboard (2.0"/>
      <sheetName val="Inventory Vs Services "/>
      <sheetName val="RFQ"/>
      <sheetName val="Vendor Status "/>
      <sheetName val="New Vendor App Tracker "/>
      <sheetName val="Spend Per CAT New Vendor "/>
      <sheetName val="Non Conformance "/>
      <sheetName val="New Vendor Spend "/>
      <sheetName val="Cost SavingTracker 2024"/>
      <sheetName val="Cost Avoidance 2025"/>
      <sheetName val="Cost SavingTracker 2025 "/>
      <sheetName val="Payment Terms "/>
      <sheetName val="Spend Jan Feb 2025"/>
      <sheetName val="28Feb spend report"/>
      <sheetName val="Projects"/>
      <sheetName val="NDA Tracker "/>
      <sheetName val="SLA numbering"/>
      <sheetName val="ESD Tracker"/>
      <sheetName val="SD Tracker"/>
      <sheetName val="SLA Mapping Out "/>
      <sheetName val="Effective SLA's"/>
      <sheetName val="Expired SLA's"/>
      <sheetName val="B-BBEE"/>
      <sheetName val="BEE Audit "/>
      <sheetName val="OCV Tracker"/>
      <sheetName val="Supplier Price Increase Tracker"/>
      <sheetName val="Sheet1"/>
      <sheetName val="B-BBEE Tracker"/>
      <sheetName val="Deviations"/>
      <sheetName val="SLA Tracker Update Sheet"/>
      <sheetName val="Data"/>
      <sheetName val="PaymentTerm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0">
          <cell r="G20" t="str">
            <v>Value</v>
          </cell>
        </row>
        <row r="21">
          <cell r="G21">
            <v>25</v>
          </cell>
        </row>
        <row r="22">
          <cell r="G22">
            <v>50</v>
          </cell>
        </row>
        <row r="23">
          <cell r="G23">
            <v>25</v>
          </cell>
        </row>
        <row r="24">
          <cell r="G24">
            <v>100</v>
          </cell>
        </row>
        <row r="26">
          <cell r="G26" t="str">
            <v>Value</v>
          </cell>
          <cell r="H26">
            <v>2.3034074999999916</v>
          </cell>
        </row>
        <row r="27">
          <cell r="G27" t="str">
            <v>Pointer</v>
          </cell>
          <cell r="H27">
            <v>1</v>
          </cell>
        </row>
        <row r="28">
          <cell r="G28" t="str">
            <v>End</v>
          </cell>
          <cell r="H28">
            <v>100</v>
          </cell>
        </row>
      </sheetData>
      <sheetData sheetId="13" refreshError="1">
        <row r="20">
          <cell r="B20">
            <v>100574.87</v>
          </cell>
          <cell r="G20" t="str">
            <v>Value</v>
          </cell>
        </row>
        <row r="21">
          <cell r="G21">
            <v>25</v>
          </cell>
        </row>
        <row r="22">
          <cell r="G22">
            <v>50</v>
          </cell>
        </row>
        <row r="23">
          <cell r="G23">
            <v>25</v>
          </cell>
        </row>
        <row r="24">
          <cell r="G24">
            <v>100</v>
          </cell>
        </row>
        <row r="26">
          <cell r="G26" t="str">
            <v>Value</v>
          </cell>
          <cell r="H26">
            <v>5.0287435000000045</v>
          </cell>
        </row>
        <row r="27">
          <cell r="G27" t="str">
            <v>Pointer</v>
          </cell>
          <cell r="H27">
            <v>1</v>
          </cell>
        </row>
        <row r="28">
          <cell r="G28" t="str">
            <v>End</v>
          </cell>
          <cell r="H28">
            <v>100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Viewership (3)"/>
    </sheetNames>
    <sheetDataSet>
      <sheetData sheetId="0"/>
      <sheetData sheetId="1">
        <row r="1">
          <cell r="B1" t="str">
            <v>% of Viewship</v>
          </cell>
        </row>
        <row r="2">
          <cell r="A2" t="str">
            <v xml:space="preserve">Female </v>
          </cell>
          <cell r="B2">
            <v>0.35</v>
          </cell>
        </row>
        <row r="3">
          <cell r="A3" t="str">
            <v>Male</v>
          </cell>
          <cell r="B3">
            <v>0.65</v>
          </cell>
        </row>
        <row r="6">
          <cell r="A6" t="str">
            <v>Indian/Asian</v>
          </cell>
          <cell r="B6">
            <v>0.08</v>
          </cell>
        </row>
        <row r="7">
          <cell r="A7" t="str">
            <v>White</v>
          </cell>
          <cell r="B7">
            <v>0.12</v>
          </cell>
        </row>
        <row r="8">
          <cell r="A8" t="str">
            <v>Coloured</v>
          </cell>
          <cell r="B8">
            <v>0.25</v>
          </cell>
        </row>
        <row r="9">
          <cell r="A9" t="str">
            <v>Black</v>
          </cell>
          <cell r="B9">
            <v>0.55000000000000004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_Profile (2)"/>
      <sheetName val="Sheet1"/>
    </sheetNames>
    <sheetDataSet>
      <sheetData sheetId="0">
        <row r="1">
          <cell r="B1" t="str">
            <v>Subscriber_Count</v>
          </cell>
        </row>
        <row r="2">
          <cell r="A2" t="str">
            <v>Boomers (56+)</v>
          </cell>
          <cell r="B2">
            <v>113</v>
          </cell>
        </row>
        <row r="3">
          <cell r="A3" t="str">
            <v>Gen X (41-55)</v>
          </cell>
          <cell r="B3">
            <v>858</v>
          </cell>
        </row>
        <row r="4">
          <cell r="A4" t="str">
            <v>Gen Z (under 25)</v>
          </cell>
          <cell r="B4">
            <v>762</v>
          </cell>
        </row>
        <row r="5">
          <cell r="A5" t="str">
            <v>Millennials (25-40)</v>
          </cell>
          <cell r="B5">
            <v>2722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_Profile (1)"/>
    </sheetNames>
    <sheetDataSet>
      <sheetData sheetId="0">
        <row r="1">
          <cell r="A1" t="str">
            <v>Province</v>
          </cell>
          <cell r="B1" t="str">
            <v>Total_Subscribers</v>
          </cell>
        </row>
        <row r="2">
          <cell r="A2" t="str">
            <v>Gauteng</v>
          </cell>
          <cell r="B2">
            <v>1704</v>
          </cell>
        </row>
        <row r="3">
          <cell r="A3" t="str">
            <v>Western Cape</v>
          </cell>
          <cell r="B3">
            <v>791</v>
          </cell>
        </row>
        <row r="4">
          <cell r="A4" t="str">
            <v>Kwazulu Natal</v>
          </cell>
          <cell r="B4">
            <v>481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itumeloS\Downloads\User_Profile%20(3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itumelo Simelane" refreshedDate="46130.438474305556" createdVersion="8" refreshedVersion="8" minRefreshableVersion="3" recordCount="37" xr:uid="{C198D0AA-8796-43EC-9C18-292C8EE3FDE7}">
  <cacheSource type="worksheet">
    <worksheetSource ref="A1:C38" sheet="User_Profile (3)" r:id="rId2"/>
  </cacheSource>
  <cacheFields count="3">
    <cacheField name="Age_Groups" numFmtId="0">
      <sharedItems count="4">
        <s v="Boomers (56+)"/>
        <s v="Gen X (41-55)"/>
        <s v="Gen Z (under 25)"/>
        <s v="Millennials (25-40)"/>
      </sharedItems>
    </cacheField>
    <cacheField name="Province" numFmtId="0">
      <sharedItems count="10">
        <s v="Gauteng"/>
        <s v="Western Cape"/>
        <s v="Kwazulu Natal"/>
        <s v="Eastern Cape"/>
        <s v="North West"/>
        <s v="Northern Cape"/>
        <s v="Limpopo"/>
        <s v="Mpumalanga"/>
        <s v="Free State"/>
        <s v="None"/>
      </sharedItems>
    </cacheField>
    <cacheField name="Subscriber_Count" numFmtId="0">
      <sharedItems containsSemiMixedTypes="0" containsString="0" containsNumber="1" containsInteger="1" minValue="1" maxValue="10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n v="51"/>
  </r>
  <r>
    <x v="0"/>
    <x v="1"/>
    <n v="19"/>
  </r>
  <r>
    <x v="0"/>
    <x v="2"/>
    <n v="11"/>
  </r>
  <r>
    <x v="0"/>
    <x v="3"/>
    <n v="10"/>
  </r>
  <r>
    <x v="0"/>
    <x v="4"/>
    <n v="6"/>
  </r>
  <r>
    <x v="0"/>
    <x v="5"/>
    <n v="6"/>
  </r>
  <r>
    <x v="0"/>
    <x v="6"/>
    <n v="5"/>
  </r>
  <r>
    <x v="0"/>
    <x v="7"/>
    <n v="4"/>
  </r>
  <r>
    <x v="0"/>
    <x v="8"/>
    <n v="1"/>
  </r>
  <r>
    <x v="1"/>
    <x v="0"/>
    <n v="336"/>
  </r>
  <r>
    <x v="1"/>
    <x v="1"/>
    <n v="192"/>
  </r>
  <r>
    <x v="1"/>
    <x v="2"/>
    <n v="87"/>
  </r>
  <r>
    <x v="1"/>
    <x v="7"/>
    <n v="68"/>
  </r>
  <r>
    <x v="1"/>
    <x v="3"/>
    <n v="67"/>
  </r>
  <r>
    <x v="1"/>
    <x v="6"/>
    <n v="37"/>
  </r>
  <r>
    <x v="1"/>
    <x v="8"/>
    <n v="34"/>
  </r>
  <r>
    <x v="1"/>
    <x v="4"/>
    <n v="32"/>
  </r>
  <r>
    <x v="1"/>
    <x v="5"/>
    <n v="5"/>
  </r>
  <r>
    <x v="2"/>
    <x v="0"/>
    <n v="278"/>
  </r>
  <r>
    <x v="2"/>
    <x v="7"/>
    <n v="100"/>
  </r>
  <r>
    <x v="2"/>
    <x v="1"/>
    <n v="92"/>
  </r>
  <r>
    <x v="2"/>
    <x v="6"/>
    <n v="82"/>
  </r>
  <r>
    <x v="2"/>
    <x v="2"/>
    <n v="77"/>
  </r>
  <r>
    <x v="2"/>
    <x v="3"/>
    <n v="53"/>
  </r>
  <r>
    <x v="2"/>
    <x v="8"/>
    <n v="35"/>
  </r>
  <r>
    <x v="2"/>
    <x v="4"/>
    <n v="27"/>
  </r>
  <r>
    <x v="2"/>
    <x v="5"/>
    <n v="17"/>
  </r>
  <r>
    <x v="3"/>
    <x v="0"/>
    <n v="1039"/>
  </r>
  <r>
    <x v="3"/>
    <x v="1"/>
    <n v="488"/>
  </r>
  <r>
    <x v="3"/>
    <x v="2"/>
    <n v="305"/>
  </r>
  <r>
    <x v="3"/>
    <x v="7"/>
    <n v="248"/>
  </r>
  <r>
    <x v="3"/>
    <x v="6"/>
    <n v="244"/>
  </r>
  <r>
    <x v="3"/>
    <x v="3"/>
    <n v="157"/>
  </r>
  <r>
    <x v="3"/>
    <x v="4"/>
    <n v="96"/>
  </r>
  <r>
    <x v="3"/>
    <x v="8"/>
    <n v="86"/>
  </r>
  <r>
    <x v="3"/>
    <x v="5"/>
    <n v="58"/>
  </r>
  <r>
    <x v="3"/>
    <x v="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243C8-B638-45C5-AD1C-DD2BE6A5EF6B}" name="PivotTable80" cacheId="1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U7:Y18" firstHeaderRow="1" firstDataRow="2" firstDataCol="1"/>
  <pivotFields count="3">
    <pivotField axis="axisCol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8"/>
        <item x="0"/>
        <item x="2"/>
        <item x="6"/>
        <item x="7"/>
        <item x="9"/>
        <item x="4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Subscriber_Count" fld="2" baseField="0" baseItem="0"/>
  </dataFields>
  <formats count="1">
    <format dxfId="0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8ACC-1EC1-45CA-9286-842F87A1BBA3}">
  <dimension ref="B7:Y40"/>
  <sheetViews>
    <sheetView tabSelected="1" zoomScale="90" zoomScaleNormal="90" workbookViewId="0">
      <selection activeCell="R53" sqref="R53"/>
    </sheetView>
  </sheetViews>
  <sheetFormatPr defaultColWidth="8.88671875" defaultRowHeight="14.4" x14ac:dyDescent="0.3"/>
  <cols>
    <col min="1" max="12" width="8.88671875" style="2"/>
    <col min="13" max="13" width="15" style="2" bestFit="1" customWidth="1"/>
    <col min="14" max="14" width="14" style="2" bestFit="1" customWidth="1"/>
    <col min="15" max="18" width="8.88671875" style="2"/>
    <col min="19" max="19" width="11.5546875" style="2" customWidth="1"/>
    <col min="20" max="20" width="13.44140625" style="2" customWidth="1"/>
    <col min="21" max="21" width="22.6640625" style="2" customWidth="1"/>
    <col min="22" max="22" width="20.44140625" style="2" customWidth="1"/>
    <col min="23" max="23" width="16.88671875" style="2" customWidth="1"/>
    <col min="24" max="24" width="21.5546875" style="2" customWidth="1"/>
    <col min="25" max="25" width="22.44140625" style="2" customWidth="1"/>
    <col min="26" max="16384" width="8.88671875" style="2"/>
  </cols>
  <sheetData>
    <row r="7" spans="21:25" ht="15.6" x14ac:dyDescent="0.3">
      <c r="U7" s="13" t="s">
        <v>0</v>
      </c>
      <c r="V7" s="13" t="s">
        <v>1</v>
      </c>
      <c r="W7" s="14"/>
      <c r="X7" s="14"/>
      <c r="Y7" s="14"/>
    </row>
    <row r="8" spans="21:25" ht="15.6" x14ac:dyDescent="0.3">
      <c r="U8" s="13" t="s">
        <v>2</v>
      </c>
      <c r="V8" s="14" t="s">
        <v>3</v>
      </c>
      <c r="W8" s="14" t="s">
        <v>4</v>
      </c>
      <c r="X8" s="14" t="s">
        <v>5</v>
      </c>
      <c r="Y8" s="14" t="s">
        <v>6</v>
      </c>
    </row>
    <row r="9" spans="21:25" ht="15.6" x14ac:dyDescent="0.3">
      <c r="U9" s="14" t="s">
        <v>7</v>
      </c>
      <c r="V9" s="14">
        <v>10</v>
      </c>
      <c r="W9" s="14">
        <v>67</v>
      </c>
      <c r="X9" s="14">
        <v>53</v>
      </c>
      <c r="Y9" s="14">
        <v>157</v>
      </c>
    </row>
    <row r="10" spans="21:25" ht="15.6" x14ac:dyDescent="0.3">
      <c r="U10" s="14" t="s">
        <v>8</v>
      </c>
      <c r="V10" s="14">
        <v>1</v>
      </c>
      <c r="W10" s="14">
        <v>34</v>
      </c>
      <c r="X10" s="14">
        <v>35</v>
      </c>
      <c r="Y10" s="14">
        <v>86</v>
      </c>
    </row>
    <row r="11" spans="21:25" ht="15.6" x14ac:dyDescent="0.3">
      <c r="U11" s="14" t="s">
        <v>9</v>
      </c>
      <c r="V11" s="14">
        <v>51</v>
      </c>
      <c r="W11" s="14">
        <v>336</v>
      </c>
      <c r="X11" s="14">
        <v>278</v>
      </c>
      <c r="Y11" s="14">
        <v>1039</v>
      </c>
    </row>
    <row r="12" spans="21:25" ht="15.6" x14ac:dyDescent="0.3">
      <c r="U12" s="14" t="s">
        <v>10</v>
      </c>
      <c r="V12" s="14">
        <v>11</v>
      </c>
      <c r="W12" s="14">
        <v>87</v>
      </c>
      <c r="X12" s="14">
        <v>77</v>
      </c>
      <c r="Y12" s="14">
        <v>305</v>
      </c>
    </row>
    <row r="13" spans="21:25" ht="15.6" x14ac:dyDescent="0.3">
      <c r="U13" s="14" t="s">
        <v>11</v>
      </c>
      <c r="V13" s="14">
        <v>5</v>
      </c>
      <c r="W13" s="14">
        <v>37</v>
      </c>
      <c r="X13" s="14">
        <v>82</v>
      </c>
      <c r="Y13" s="14">
        <v>244</v>
      </c>
    </row>
    <row r="14" spans="21:25" ht="15.6" x14ac:dyDescent="0.3">
      <c r="U14" s="14" t="s">
        <v>12</v>
      </c>
      <c r="V14" s="14">
        <v>4</v>
      </c>
      <c r="W14" s="14">
        <v>68</v>
      </c>
      <c r="X14" s="14">
        <v>100</v>
      </c>
      <c r="Y14" s="14">
        <v>248</v>
      </c>
    </row>
    <row r="15" spans="21:25" ht="15.6" x14ac:dyDescent="0.3">
      <c r="U15" s="14" t="s">
        <v>13</v>
      </c>
      <c r="V15" s="14"/>
      <c r="W15" s="14"/>
      <c r="X15" s="14"/>
      <c r="Y15" s="14">
        <v>1</v>
      </c>
    </row>
    <row r="16" spans="21:25" ht="15.6" x14ac:dyDescent="0.3">
      <c r="U16" s="14" t="s">
        <v>14</v>
      </c>
      <c r="V16" s="14">
        <v>6</v>
      </c>
      <c r="W16" s="14">
        <v>32</v>
      </c>
      <c r="X16" s="14">
        <v>27</v>
      </c>
      <c r="Y16" s="14">
        <v>96</v>
      </c>
    </row>
    <row r="17" spans="18:25" ht="15.6" x14ac:dyDescent="0.3">
      <c r="U17" s="14" t="s">
        <v>15</v>
      </c>
      <c r="V17" s="14">
        <v>6</v>
      </c>
      <c r="W17" s="14">
        <v>5</v>
      </c>
      <c r="X17" s="14">
        <v>17</v>
      </c>
      <c r="Y17" s="14">
        <v>58</v>
      </c>
    </row>
    <row r="18" spans="18:25" ht="15.6" x14ac:dyDescent="0.3">
      <c r="R18" s="1"/>
      <c r="U18" s="14" t="s">
        <v>16</v>
      </c>
      <c r="V18" s="14">
        <v>19</v>
      </c>
      <c r="W18" s="14">
        <v>192</v>
      </c>
      <c r="X18" s="14">
        <v>92</v>
      </c>
      <c r="Y18" s="14">
        <v>488</v>
      </c>
    </row>
    <row r="19" spans="18:25" x14ac:dyDescent="0.3">
      <c r="U19" s="15" t="s">
        <v>17</v>
      </c>
      <c r="V19" s="15">
        <f>SUM(V9:V18)</f>
        <v>113</v>
      </c>
      <c r="W19" s="15">
        <f>SUM(W9:W18)</f>
        <v>858</v>
      </c>
      <c r="X19" s="15">
        <f>SUM(X9:X18)</f>
        <v>761</v>
      </c>
      <c r="Y19" s="15">
        <f>SUM(Y9:Y18)</f>
        <v>2722</v>
      </c>
    </row>
    <row r="35" spans="2:20" x14ac:dyDescent="0.3">
      <c r="L35" s="3"/>
      <c r="M35" s="3"/>
      <c r="N35" s="4"/>
    </row>
    <row r="36" spans="2:20" x14ac:dyDescent="0.3">
      <c r="L36" s="3"/>
      <c r="M36" s="3"/>
      <c r="N36" s="4"/>
      <c r="R36" s="5"/>
    </row>
    <row r="37" spans="2:20" x14ac:dyDescent="0.3">
      <c r="L37" s="8"/>
      <c r="N37" s="9"/>
      <c r="Q37" s="2" t="s">
        <v>19</v>
      </c>
      <c r="R37" s="5"/>
      <c r="T37" s="6" t="s">
        <v>18</v>
      </c>
    </row>
    <row r="38" spans="2:20" x14ac:dyDescent="0.3">
      <c r="R38" s="10"/>
      <c r="T38" s="7"/>
    </row>
    <row r="39" spans="2:20" x14ac:dyDescent="0.3">
      <c r="Q39" s="8"/>
      <c r="T39" s="11"/>
    </row>
    <row r="40" spans="2:20" x14ac:dyDescent="0.3">
      <c r="B40" s="12"/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2C48918-4D84-4017-B2B8-13187ABD019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B21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Boitumelo Simelane</dc:creator>
  <cp:lastModifiedBy>Boitumelo Simelane</cp:lastModifiedBy>
  <dcterms:created xsi:type="dcterms:W3CDTF">2026-04-18T08:04:57Z</dcterms:created>
  <dcterms:modified xsi:type="dcterms:W3CDTF">2026-04-18T09:24:22Z</dcterms:modified>
</cp:coreProperties>
</file>